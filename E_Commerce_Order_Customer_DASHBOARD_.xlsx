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ttps://d.docs.live.net/48516848d7dfa3e2/Desktop/EXCEL PROJECT/"/>
    </mc:Choice>
  </mc:AlternateContent>
  <xr:revisionPtr revIDLastSave="12" documentId="8_{6B70D166-D5A1-4B68-A8C8-06EF120F0BC8}" xr6:coauthVersionLast="47" xr6:coauthVersionMax="47" xr10:uidLastSave="{E2C56D5F-CD7B-4C86-922E-C733946127A8}"/>
  <bookViews>
    <workbookView xWindow="-108" yWindow="-108" windowWidth="23256" windowHeight="12456" activeTab="3" xr2:uid="{00000000-000D-0000-FFFF-FFFF00000000}"/>
  </bookViews>
  <sheets>
    <sheet name="CLEAN_Data" sheetId="1" r:id="rId1"/>
    <sheet name="RAW_DATA" sheetId="8" r:id="rId2"/>
    <sheet name="Pivot_Table" sheetId="3" r:id="rId3"/>
    <sheet name="DASHBOARD" sheetId="11" r:id="rId4"/>
    <sheet name="Data_Dictionary" sheetId="2" r:id="rId5"/>
  </sheets>
  <definedNames>
    <definedName name="_xlcn.WorksheetConnection_E_Commerce_Order_Customer_Analytics_Dataset_100_Rows.xlsxOrders1" hidden="1">SalesData[]</definedName>
    <definedName name="_xlcn.WorksheetConnection_E_Commerce_Order_Customer_DASHBOARD.xlsxTable21" hidden="1">Table2</definedName>
    <definedName name="Slicer_Category">#N/A</definedName>
    <definedName name="Slicer_Customer_Segment">#N/A</definedName>
    <definedName name="Slicer_Order_Status1">#N/A</definedName>
    <definedName name="Slicer_Payment_Method1">#N/A</definedName>
    <definedName name="Slicer_Region">#N/A</definedName>
    <definedName name="Timeline_Order_Dat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Orders" name="Orders" connection="WorksheetConnection_E_Commerce_Order_Customer_Analytics_Dataset_100_Rows.xlsx!Orders"/>
          <x15:modelTable id="Table2" name="Table2" connection="WorksheetConnection_E_Commerce_Order_Customer_DASHBOARD.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7" i="3" l="1"/>
  <c r="A30" i="3" a="1"/>
  <c r="A30"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85524-4BEA-48C4-A141-8C8596E209B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7D48D6-9139-4EEA-81C3-B72EBE0FB894}" name="WorksheetConnection_E_Commerce_Order_Customer_Analytics_Dataset_100_Rows.xlsx!Orders" type="102" refreshedVersion="7" minRefreshableVersion="5">
    <extLst>
      <ext xmlns:x15="http://schemas.microsoft.com/office/spreadsheetml/2010/11/main" uri="{DE250136-89BD-433C-8126-D09CA5730AF9}">
        <x15:connection id="Orders" autoDelete="1">
          <x15:rangePr sourceName="_xlcn.WorksheetConnection_E_Commerce_Order_Customer_Analytics_Dataset_100_Rows.xlsxOrders1"/>
        </x15:connection>
      </ext>
    </extLst>
  </connection>
  <connection id="3" xr16:uid="{22CB19F5-0BCC-4781-80A9-442F3B850DB7}" name="WorksheetConnection_E_Commerce_Order_Customer_DASHBOARD.xlsx!Table2" type="102" refreshedVersion="7" minRefreshableVersion="5">
    <extLst>
      <ext xmlns:x15="http://schemas.microsoft.com/office/spreadsheetml/2010/11/main" uri="{DE250136-89BD-433C-8126-D09CA5730AF9}">
        <x15:connection id="Table2">
          <x15:rangePr sourceName="_xlcn.WorksheetConnection_E_Commerce_Order_Customer_DASHBOARD.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<sst xmlns="http://schemas.openxmlformats.org/spreadsheetml/2006/main" count="2557" uniqueCount="279">
  <si>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</si>
  <si>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</si>
  <si>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</si>
  <si>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</si>
  <si>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</si>
  <si>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</si>
  <si>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</si>
  <si>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</si>
  <si>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</si>
  <si>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</si>
  <si>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</si>
  <si>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</si>
  <si>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</si>
  <si>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</si>
  <si>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</si>
  <si>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</si>
  <si>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</si>
  <si>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</si>
  <si>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</si>
  <si>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</si>
  <si>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</si>
  <si>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</si>
  <si>
    <t>O0001</t>
  </si>
  <si>
    <t>C004</t>
  </si>
  <si>
    <t>Sneha Sen</t>
  </si>
  <si>
    <t>Male</t>
  </si>
  <si>
    <t>Kolkata</t>
  </si>
  <si>
    <t>West Bengal</t>
  </si>
  <si>
    <t>East</t>
  </si>
  <si>
    <t>Yoga Mat</t>
  </si>
  <si>
    <t>Sports</t>
  </si>
  <si>
    <t>UPI</t>
  </si>
  <si>
    <t>Delivered</t>
  </si>
  <si>
    <t>New Customer</t>
  </si>
  <si>
    <t>O0002</t>
  </si>
  <si>
    <t>C003</t>
  </si>
  <si>
    <t>Rahul Roy</t>
  </si>
  <si>
    <t>Female</t>
  </si>
  <si>
    <t>Pune</t>
  </si>
  <si>
    <t>Maharashtra</t>
  </si>
  <si>
    <t>West</t>
  </si>
  <si>
    <t>Laptop Backpack</t>
  </si>
  <si>
    <t>Accessories</t>
  </si>
  <si>
    <t>Net Banking</t>
  </si>
  <si>
    <t>Regular Customer</t>
  </si>
  <si>
    <t>O0003</t>
  </si>
  <si>
    <t>C001</t>
  </si>
  <si>
    <t>Aarav Sharma</t>
  </si>
  <si>
    <t>Mumbai</t>
  </si>
  <si>
    <t>Debit Card</t>
  </si>
  <si>
    <t>O0004</t>
  </si>
  <si>
    <t>C012</t>
  </si>
  <si>
    <t>Riya Mukherjee</t>
  </si>
  <si>
    <t>Jaipur</t>
  </si>
  <si>
    <t>Rajasthan</t>
  </si>
  <si>
    <t>North</t>
  </si>
  <si>
    <t>Running Shoes</t>
  </si>
  <si>
    <t>Fashion</t>
  </si>
  <si>
    <t>Cash on Delivery</t>
  </si>
  <si>
    <t>O0005</t>
  </si>
  <si>
    <t>C019</t>
  </si>
  <si>
    <t>Sayan Banerjee</t>
  </si>
  <si>
    <t>O0006</t>
  </si>
  <si>
    <t>C015</t>
  </si>
  <si>
    <t>Kunal Das</t>
  </si>
  <si>
    <t>Bengaluru</t>
  </si>
  <si>
    <t>Karnataka</t>
  </si>
  <si>
    <t>South</t>
  </si>
  <si>
    <t>Smart Watch</t>
  </si>
  <si>
    <t>Electronics</t>
  </si>
  <si>
    <t>O0007</t>
  </si>
  <si>
    <t>Chennai</t>
  </si>
  <si>
    <t>Tamil Nadu</t>
  </si>
  <si>
    <t>O0008</t>
  </si>
  <si>
    <t>Coffee Maker</t>
  </si>
  <si>
    <t>Home &amp; Kitchen</t>
  </si>
  <si>
    <t>Loyal Customer</t>
  </si>
  <si>
    <t>O0009</t>
  </si>
  <si>
    <t>C018</t>
  </si>
  <si>
    <t>Moumita Sen</t>
  </si>
  <si>
    <t>Ahmedabad</t>
  </si>
  <si>
    <t>Gujarat</t>
  </si>
  <si>
    <t>Credit Card</t>
  </si>
  <si>
    <t>O0010</t>
  </si>
  <si>
    <t>C006</t>
  </si>
  <si>
    <t>Ananya Bose</t>
  </si>
  <si>
    <t>O0011</t>
  </si>
  <si>
    <t>Delhi</t>
  </si>
  <si>
    <t>Water Bottle</t>
  </si>
  <si>
    <t>O0012</t>
  </si>
  <si>
    <t>Bluetooth Speaker</t>
  </si>
  <si>
    <t>O0013</t>
  </si>
  <si>
    <t>C011</t>
  </si>
  <si>
    <t>Aditya Nair</t>
  </si>
  <si>
    <t>Hyderabad</t>
  </si>
  <si>
    <t>Telangana</t>
  </si>
  <si>
    <t>Wireless Headphones</t>
  </si>
  <si>
    <t>Pending</t>
  </si>
  <si>
    <t>O0014</t>
  </si>
  <si>
    <t>O0015</t>
  </si>
  <si>
    <t>C007</t>
  </si>
  <si>
    <t>Rohan Dutta</t>
  </si>
  <si>
    <t>O0016</t>
  </si>
  <si>
    <t>C008</t>
  </si>
  <si>
    <t>Tanya Ghosh</t>
  </si>
  <si>
    <t>Howrah</t>
  </si>
  <si>
    <t>Cotton T-Shirt</t>
  </si>
  <si>
    <t>O0017</t>
  </si>
  <si>
    <t>O0018</t>
  </si>
  <si>
    <t>C016</t>
  </si>
  <si>
    <t>Pooja Saha</t>
  </si>
  <si>
    <t>Skincare Kit</t>
  </si>
  <si>
    <t>Beauty</t>
  </si>
  <si>
    <t>O0019</t>
  </si>
  <si>
    <t>C002</t>
  </si>
  <si>
    <t>Priya Das</t>
  </si>
  <si>
    <t>Returned</t>
  </si>
  <si>
    <t>O0020</t>
  </si>
  <si>
    <t>C014</t>
  </si>
  <si>
    <t>Neha Verma</t>
  </si>
  <si>
    <t>O0021</t>
  </si>
  <si>
    <t>O0022</t>
  </si>
  <si>
    <t>C009</t>
  </si>
  <si>
    <t>Vikram Singh</t>
  </si>
  <si>
    <t>O0023</t>
  </si>
  <si>
    <t>O0024</t>
  </si>
  <si>
    <t>O0025</t>
  </si>
  <si>
    <t>O0026</t>
  </si>
  <si>
    <t>C010</t>
  </si>
  <si>
    <t>Ishita Paul</t>
  </si>
  <si>
    <t>O0027</t>
  </si>
  <si>
    <t>O0028</t>
  </si>
  <si>
    <t>O0029</t>
  </si>
  <si>
    <t>O0030</t>
  </si>
  <si>
    <t>O0031</t>
  </si>
  <si>
    <t>O0032</t>
  </si>
  <si>
    <t>Face Wash</t>
  </si>
  <si>
    <t>O0033</t>
  </si>
  <si>
    <t>Denim Jeans</t>
  </si>
  <si>
    <t>Cancelled</t>
  </si>
  <si>
    <t>O0034</t>
  </si>
  <si>
    <t>O0035</t>
  </si>
  <si>
    <t>C017</t>
  </si>
  <si>
    <t>Abhishek Roy</t>
  </si>
  <si>
    <t>O0036</t>
  </si>
  <si>
    <t>C020</t>
  </si>
  <si>
    <t>Nikita Jain</t>
  </si>
  <si>
    <t>O0037</t>
  </si>
  <si>
    <t>O0038</t>
  </si>
  <si>
    <t>O0039</t>
  </si>
  <si>
    <t>O0040</t>
  </si>
  <si>
    <t>O0041</t>
  </si>
  <si>
    <t>O0042</t>
  </si>
  <si>
    <t>C013</t>
  </si>
  <si>
    <t>Sourav Ghosh</t>
  </si>
  <si>
    <t>O0043</t>
  </si>
  <si>
    <t>O0044</t>
  </si>
  <si>
    <t>O0045</t>
  </si>
  <si>
    <t>O0046</t>
  </si>
  <si>
    <t>C005</t>
  </si>
  <si>
    <t>Arjun Gupta</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</si>
  <si>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</si>
  <si>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</si>
  <si>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</si>
  <si>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</si>
  <si>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</si>
  <si>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</si>
  <si>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</si>
  <si>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</si>
  <si>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</si>
  <si>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</si>
  <si>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</si>
  <si>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</si>
  <si>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</si>
  <si>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</si>
  <si>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</si>
  <si>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</si>
  <si>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</si>
  <si>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</si>
  <si>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</si>
  <si>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</si>
  <si>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</si>
  <si>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</si>
  <si>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</si>
  <si>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</si>
  <si>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</si>
  <si>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</si>
  <si>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</si>
  <si>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</si>
  <si>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</si>
  <si>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</si>
  <si>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</si>
  <si>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</si>
  <si>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</si>
  <si>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</si>
  <si>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</si>
  <si>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</si>
  <si>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</si>
  <si>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</si>
  <si>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</si>
  <si>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</si>
  <si>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</si>
  <si>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</si>
  <si>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</si>
  <si>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</si>
  <si>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</si>
  <si>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</si>
  <si>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</si>
  <si>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</si>
  <si>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</si>
  <si>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</si>
  <si>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</si>
  <si>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</si>
  <si>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</si>
  <si>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</si>
  <si>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Column</t>
  </si>
  <si>
    <t>Meaning</t>
  </si>
  <si>
    <t>Unique order number</t>
  </si>
  <si>
    <t>Date of order</t>
  </si>
  <si>
    <t>Unique customer number</t>
  </si>
  <si>
    <t>Customer name</t>
  </si>
  <si>
    <t>Customer gender</t>
  </si>
  <si>
    <t>Customer age</t>
  </si>
  <si>
    <t>Customer city</t>
  </si>
  <si>
    <t>Customer state</t>
  </si>
  <si>
    <t>Geographical region</t>
  </si>
  <si>
    <t>Purchased product</t>
  </si>
  <si>
    <t>Product category</t>
  </si>
  <si>
    <t>Number of units purchased</t>
  </si>
  <si>
    <t>Price per unit</t>
  </si>
  <si>
    <t>Discount percentage</t>
  </si>
  <si>
    <t>Shipping charge</t>
  </si>
  <si>
    <t>Payment method used</t>
  </si>
  <si>
    <t>Current order status</t>
  </si>
  <si>
    <t>Customer rating</t>
  </si>
  <si>
    <t>Customer type/segment</t>
  </si>
  <si>
    <t>Quantity × Unit Price</t>
  </si>
  <si>
    <t>Gross Sales × Discount</t>
  </si>
  <si>
    <t>Gross Sales − Discount Amount + Shipping Cost</t>
  </si>
  <si>
    <t>Row Labels</t>
  </si>
  <si>
    <t>Grand Total</t>
  </si>
  <si>
    <t>Sum of Discount Amount</t>
  </si>
  <si>
    <t>Sum of Net Revenue</t>
  </si>
  <si>
    <t>Sum of Quantity</t>
  </si>
  <si>
    <t>CUSTOMERS</t>
  </si>
  <si>
    <t>2026</t>
  </si>
  <si>
    <t>Jan</t>
  </si>
  <si>
    <t>Aug</t>
  </si>
  <si>
    <t>Apr</t>
  </si>
  <si>
    <t>May</t>
  </si>
  <si>
    <t>Jun</t>
  </si>
  <si>
    <t>Feb</t>
  </si>
  <si>
    <t>Mar</t>
  </si>
  <si>
    <t>Jul</t>
  </si>
  <si>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</si>
  <si>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</si>
  <si>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</si>
  <si>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</si>
  <si>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</si>
  <si>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</si>
  <si>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</si>
  <si>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</si>
  <si>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</si>
  <si>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</si>
  <si>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</si>
  <si>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</si>
  <si>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</si>
  <si>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</si>
  <si>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</si>
  <si>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</si>
  <si>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</si>
  <si>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</si>
  <si>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</si>
  <si>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</si>
  <si>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</si>
  <si>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</si>
  <si>
    <t>Count of Order ID</t>
  </si>
  <si>
    <t>Count of Category</t>
  </si>
  <si>
    <t>Average of Net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</si>
</sst>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 #,##0.00;&quot;₹&quot;\ \-#,##0.00"/>
    <numFmt numFmtId="8" formatCode="&quot;₹&quot;\ #,##0.00;[Red]&quot;₹&quot;\ \-#,##0.00"/>
    <numFmt numFmtId="164" formatCode="[$-14009]dd/mm/yyyy;@"/>
    <numFmt numFmtId="165" formatCode="&quot;₹&quot;\ #,##0.00"/>
    <numFmt numFmtId="166" formatCode="&quot;₹&quot;\ #,##0"/>
  </numFmts>
  <fonts count="4" x14ac:knownFonts="1">
    <font>
      <sz val="11"/>
      <color theme="1"/>
      <name val="Arial"/>
      <family val="2"/>
      <scheme val="minor"/>
    </font>
    <font>
      <b/>
      <sz val="11"/>
      <name val="Calibri"/>
    </font>
    <font>
      <b/>
      <sz val="11"/>
      <name val="Calibri"/>
      <family val="2"/>
    </font>
    <font>
      <b/>
      <sz val="11"/>
      <color theme="1"/>
      <name val="Arial"/>
      <family val="2"/>
      <scheme val="min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164" fontId="0" fillId="0" borderId="0" xfId="0" applyNumberFormat="1"/>
    <xf numFmtId="10" fontId="0" fillId="0" borderId="0" xfId="0" applyNumberFormat="1"/>
    <xf numFmtId="165" fontId="0" fillId="0" borderId="0" xfId="0" applyNumberFormat="1" applyAlignment="1">
      <alignment horizontal="left" vertical="top"/>
    </xf>
    <xf numFmtId="165" fontId="0" fillId="0" borderId="0" xfId="0" applyNumberFormat="1" applyAlignment="1">
      <alignment horizontal="left"/>
    </xf>
    <xf numFmtId="165"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5" fontId="1" fillId="0" borderId="2" xfId="0" applyNumberFormat="1" applyFont="1" applyBorder="1" applyAlignment="1">
      <alignment horizontal="left" vertical="top"/>
    </xf>
    <xf numFmtId="10" fontId="1" fillId="0" borderId="2" xfId="0" applyNumberFormat="1" applyFont="1" applyBorder="1" applyAlignment="1">
      <alignment horizontal="center" vertical="top"/>
    </xf>
    <xf numFmtId="165" fontId="1" fillId="0" borderId="2" xfId="0" applyNumberFormat="1" applyFont="1" applyBorder="1" applyAlignment="1">
      <alignment horizontal="left"/>
    </xf>
    <xf numFmtId="165" fontId="2"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3" fillId="2" borderId="3" xfId="0" applyFont="1" applyFill="1" applyBorder="1"/>
    <xf numFmtId="14" fontId="0" fillId="0" borderId="0" xfId="0" applyNumberFormat="1"/>
    <xf numFmtId="166" fontId="0" fillId="0" borderId="0" xfId="0" applyNumberFormat="1"/>
    <xf numFmtId="3" fontId="0" fillId="0" borderId="0" xfId="0" applyNumberFormat="1"/>
    <xf numFmtId="164" fontId="0" fillId="0" borderId="0" xfId="0" applyNumberFormat="1" applyAlignment="1">
      <alignment horizontal="left" indent="1"/>
    </xf>
    <xf numFmtId="0" fontId="0" fillId="0" borderId="0" xfId="0" applyNumberFormat="1"/>
    <xf numFmtId="8"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7" fontId="0" fillId="0" borderId="0" xfId="0" applyNumberFormat="1"/>
  </cellXfs>
  <cellStyles count="1">
    <cellStyle name="Normal" xfId="0" builtinId="0"/>
  </cellStyles>
  <dxfs count="11">
    <dxf>
      <numFmt numFmtId="11" formatCode="&quot;₹&quot;\ #,##0.00;&quot;₹&quot;\ \-#,##0.00"/>
    </dxf>
    <dxf>
      <numFmt numFmtId="11" formatCode="&quot;₹&quot;\ #,##0.00;&quot;₹&quot;\ \-#,##0.00"/>
    </dxf>
    <dxf>
      <numFmt numFmtId="165" formatCode="&quot;₹&quot;\ #,##0.0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4" formatCode="0.00%"/>
    </dxf>
    <dxf>
      <numFmt numFmtId="165" formatCode="&quot;₹&quot;\ #,##0.00"/>
      <alignment horizontal="left" vertical="top" textRotation="0" wrapText="0" indent="0" justifyLastLine="0" shrinkToFit="0" readingOrder="0"/>
    </dxf>
    <dxf>
      <numFmt numFmtId="164" formatCode="[$-14009]dd/mm/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[E_Commerce_Order_Customer_DASHBOARD.xlsx]Pivot_Table!PivotTable1</c:name>
    <c:fmtId val="2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6328484981044037"/>
          <c:w val="0.70925196850393701"/>
          <c:h val="0.46043708078156897"/>
        </c:manualLayout>
      </c:layout>
      <c:lineChart>
        <c:grouping val="standard"/>
        <c:varyColors val="0"/>
        <c:ser>
          <c:idx val="0"/>
          <c:order val="0"/>
          <c:tx>
            <c:strRef>
              <c:f>Pivot_Table!$E$2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Pivot_Table!$D$3:$D$12</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Pivot_Table!$E$3:$E$12</c:f>
              <c:numCache>
                <c:formatCode>General</c:formatCode>
                <c:ptCount val="8"/>
                <c:pt idx="0">
                  <c:v>39980.300000000003</c:v>
                </c:pt>
                <c:pt idx="1">
                  <c:v>51593.549999999996</c:v>
                </c:pt>
                <c:pt idx="2">
                  <c:v>49344.45</c:v>
                </c:pt>
                <c:pt idx="3">
                  <c:v>48113.500000000007</c:v>
                </c:pt>
                <c:pt idx="4">
                  <c:v>54953.450000000004</c:v>
                </c:pt>
                <c:pt idx="5">
                  <c:v>54410.200000000004</c:v>
                </c:pt>
                <c:pt idx="6">
                  <c:v>68669.850000000006</c:v>
                </c:pt>
                <c:pt idx="7">
                  <c:v>26078.3</c:v>
                </c:pt>
              </c:numCache>
            </c:numRef>
          </c:val>
          <c:smooth val="0"/>
          <c:extLst>
            <c:ext xmlns:c16="http://schemas.microsoft.com/office/drawing/2014/chart" uri="{C3380CC4-5D6E-409C-BE32-E72D297353CC}">
              <c16:uniqueId val="{00000000-23EF-4E55-B7A5-569B14F707B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9861343"/>
        <c:axId val="49858015"/>
      </c:lineChart>
      <c:catAx>
        <c:axId val="498613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986134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C-4AA1-9342-ED6CD7DE8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C-4AA1-9342-ED6CD7DE8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C-4AA1-9342-ED6CD7DE8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C-4AA1-9342-ED6CD7DE8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AC-4AA1-9342-ED6CD7DE8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AC-4AA1-9342-ED6CD7DE8F10}"/>
              </c:ext>
            </c:extLst>
          </c:dPt>
          <c:cat>
            <c:strRef>
              <c:f>Pivot_Table!$D$21:$D$27</c:f>
              <c:strCache>
                <c:ptCount val="6"/>
                <c:pt idx="0">
                  <c:v>Accessories</c:v>
                </c:pt>
                <c:pt idx="1">
                  <c:v>Beauty</c:v>
                </c:pt>
                <c:pt idx="2">
                  <c:v>Electronics</c:v>
                </c:pt>
                <c:pt idx="3">
                  <c:v>Fashion</c:v>
                </c:pt>
                <c:pt idx="4">
                  <c:v>Home &amp; Kitchen</c:v>
                </c:pt>
                <c:pt idx="5">
                  <c:v>Sports</c:v>
                </c:pt>
              </c:strCache>
            </c:strRef>
          </c:cat>
          <c:val>
            <c:numRef>
              <c:f>Pivot_Table!$E$21:$E$27</c:f>
              <c:numCache>
                <c:formatCode>General</c:formatCode>
                <c:ptCount val="6"/>
                <c:pt idx="0">
                  <c:v>18810.849999999999</c:v>
                </c:pt>
                <c:pt idx="1">
                  <c:v>16835.449999999997</c:v>
                </c:pt>
                <c:pt idx="2">
                  <c:v>140692.1</c:v>
                </c:pt>
                <c:pt idx="3">
                  <c:v>109891.34999999999</c:v>
                </c:pt>
                <c:pt idx="4">
                  <c:v>76566.25</c:v>
                </c:pt>
                <c:pt idx="5">
                  <c:v>30347.600000000006</c:v>
                </c:pt>
              </c:numCache>
            </c:numRef>
          </c:val>
          <c:extLst>
            <c:ext xmlns:c16="http://schemas.microsoft.com/office/drawing/2014/chart" uri="{C3380CC4-5D6E-409C-BE32-E72D297353CC}">
              <c16:uniqueId val="{00000000-741B-4F5F-89B8-F09EBEF0D6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Pivot_Table!$E$35</c:f>
              <c:strCache>
                <c:ptCount val="1"/>
                <c:pt idx="0">
                  <c:v>Total</c:v>
                </c:pt>
              </c:strCache>
            </c:strRef>
          </c:tx>
          <c:spPr>
            <a:solidFill>
              <a:schemeClr val="accent1"/>
            </a:solidFill>
            <a:ln>
              <a:noFill/>
            </a:ln>
            <a:effectLst/>
          </c:spPr>
          <c:invertIfNegative val="0"/>
          <c:cat>
            <c:strRef>
              <c:f>Pivot_Table!$D$36:$D$40</c:f>
              <c:strCache>
                <c:ptCount val="4"/>
                <c:pt idx="0">
                  <c:v>East</c:v>
                </c:pt>
                <c:pt idx="1">
                  <c:v>North</c:v>
                </c:pt>
                <c:pt idx="2">
                  <c:v>South</c:v>
                </c:pt>
                <c:pt idx="3">
                  <c:v>West</c:v>
                </c:pt>
              </c:strCache>
            </c:strRef>
          </c:cat>
          <c:val>
            <c:numRef>
              <c:f>Pivot_Table!$E$36:$E$40</c:f>
              <c:numCache>
                <c:formatCode>General</c:formatCode>
                <c:ptCount val="4"/>
                <c:pt idx="0">
                  <c:v>79007.000000000015</c:v>
                </c:pt>
                <c:pt idx="1">
                  <c:v>62987.649999999994</c:v>
                </c:pt>
                <c:pt idx="2">
                  <c:v>112324.5</c:v>
                </c:pt>
                <c:pt idx="3">
                  <c:v>138824.45000000001</c:v>
                </c:pt>
              </c:numCache>
            </c:numRef>
          </c:val>
          <c:extLst>
            <c:ext xmlns:c16="http://schemas.microsoft.com/office/drawing/2014/chart" uri="{C3380CC4-5D6E-409C-BE32-E72D297353CC}">
              <c16:uniqueId val="{00000000-FEAB-4F88-976A-243956862107}"/>
            </c:ext>
          </c:extLst>
        </c:ser>
        <c:dLbls>
          <c:showLegendKey val="0"/>
          <c:showVal val="0"/>
          <c:showCatName val="0"/>
          <c:showSerName val="0"/>
          <c:showPercent val="0"/>
          <c:showBubbleSize val="0"/>
        </c:dLbls>
        <c:gapWidth val="219"/>
        <c:axId val="3658447"/>
        <c:axId val="3661359"/>
      </c:barChart>
      <c:catAx>
        <c:axId val="36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Pivot_Table!$E$54</c:f>
              <c:strCache>
                <c:ptCount val="1"/>
                <c:pt idx="0">
                  <c:v>Total</c:v>
                </c:pt>
              </c:strCache>
            </c:strRef>
          </c:tx>
          <c:spPr>
            <a:solidFill>
              <a:schemeClr val="accent1"/>
            </a:solidFill>
            <a:ln>
              <a:noFill/>
            </a:ln>
            <a:effectLst/>
          </c:spPr>
          <c:invertIfNegative val="0"/>
          <c:cat>
            <c:strRef>
              <c:f>Pivot_Table!$D$55:$D$65</c:f>
              <c:strCache>
                <c:ptCount val="10"/>
                <c:pt idx="0">
                  <c:v>Smart Watch</c:v>
                </c:pt>
                <c:pt idx="1">
                  <c:v>Running Shoes</c:v>
                </c:pt>
                <c:pt idx="2">
                  <c:v>Coffee Maker</c:v>
                </c:pt>
                <c:pt idx="3">
                  <c:v>Wireless Headphones</c:v>
                </c:pt>
                <c:pt idx="4">
                  <c:v>Yoga Mat</c:v>
                </c:pt>
                <c:pt idx="5">
                  <c:v>Denim Jeans</c:v>
                </c:pt>
                <c:pt idx="6">
                  <c:v>Bluetooth Speaker</c:v>
                </c:pt>
                <c:pt idx="7">
                  <c:v>Laptop Backpack</c:v>
                </c:pt>
                <c:pt idx="8">
                  <c:v>Water Bottle</c:v>
                </c:pt>
                <c:pt idx="9">
                  <c:v>Skincare Kit</c:v>
                </c:pt>
              </c:strCache>
            </c:strRef>
          </c:cat>
          <c:val>
            <c:numRef>
              <c:f>Pivot_Table!$E$55:$E$65</c:f>
              <c:numCache>
                <c:formatCode>General</c:formatCode>
                <c:ptCount val="10"/>
                <c:pt idx="0">
                  <c:v>72413.25</c:v>
                </c:pt>
                <c:pt idx="1">
                  <c:v>69558.75</c:v>
                </c:pt>
                <c:pt idx="2">
                  <c:v>62438.700000000004</c:v>
                </c:pt>
                <c:pt idx="3">
                  <c:v>40074.199999999997</c:v>
                </c:pt>
                <c:pt idx="4">
                  <c:v>30347.600000000006</c:v>
                </c:pt>
                <c:pt idx="5">
                  <c:v>29721.75</c:v>
                </c:pt>
                <c:pt idx="6">
                  <c:v>28204.649999999998</c:v>
                </c:pt>
                <c:pt idx="7">
                  <c:v>18810.849999999999</c:v>
                </c:pt>
                <c:pt idx="8">
                  <c:v>14127.55</c:v>
                </c:pt>
                <c:pt idx="9">
                  <c:v>11029.25</c:v>
                </c:pt>
              </c:numCache>
            </c:numRef>
          </c:val>
          <c:extLst>
            <c:ext xmlns:c16="http://schemas.microsoft.com/office/drawing/2014/chart" uri="{C3380CC4-5D6E-409C-BE32-E72D297353CC}">
              <c16:uniqueId val="{00000000-09A2-486B-8AE0-37CDB03AC1D8}"/>
            </c:ext>
          </c:extLst>
        </c:ser>
        <c:dLbls>
          <c:showLegendKey val="0"/>
          <c:showVal val="0"/>
          <c:showCatName val="0"/>
          <c:showSerName val="0"/>
          <c:showPercent val="0"/>
          <c:showBubbleSize val="0"/>
        </c:dLbls>
        <c:gapWidth val="219"/>
        <c:axId val="6651503"/>
        <c:axId val="6657327"/>
      </c:barChart>
      <c:catAx>
        <c:axId val="665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Pivot_Table!$E$78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F8-4B5A-B836-AE043BB278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F8-4B5A-B836-AE043BB278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F8-4B5A-B836-AE043BB2787D}"/>
              </c:ext>
            </c:extLst>
          </c:dPt>
          <c:cat>
            <c:strRef>
              <c:f>Pivot_Table!$D$79:$D$82</c:f>
              <c:strCache>
                <c:ptCount val="3"/>
                <c:pt idx="0">
                  <c:v>Loyal Customer</c:v>
                </c:pt>
                <c:pt idx="1">
                  <c:v>New Customer</c:v>
                </c:pt>
                <c:pt idx="2">
                  <c:v>Regular Customer</c:v>
                </c:pt>
              </c:strCache>
            </c:strRef>
          </c:cat>
          <c:val>
            <c:numRef>
              <c:f>Pivot_Table!$E$79:$E$82</c:f>
              <c:numCache>
                <c:formatCode>General</c:formatCode>
                <c:ptCount val="3"/>
                <c:pt idx="0">
                  <c:v>141179.74999999997</c:v>
                </c:pt>
                <c:pt idx="1">
                  <c:v>138472.90000000002</c:v>
                </c:pt>
                <c:pt idx="2">
                  <c:v>113490.94999999998</c:v>
                </c:pt>
              </c:numCache>
            </c:numRef>
          </c:val>
          <c:extLst>
            <c:ext xmlns:c16="http://schemas.microsoft.com/office/drawing/2014/chart" uri="{C3380CC4-5D6E-409C-BE32-E72D297353CC}">
              <c16:uniqueId val="{00000000-FB6C-4C57-9162-29480E18C8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Pivot_Table!$T$12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1-44B4-B61F-40D3837B8B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1-44B4-B61F-40D3837B8B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1-44B4-B61F-40D3837B8B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F1-44B4-B61F-40D3837B8B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F1-44B4-B61F-40D3837B8BE7}"/>
              </c:ext>
            </c:extLst>
          </c:dPt>
          <c:cat>
            <c:strRef>
              <c:f>Pivot_Table!$S$13:$S$18</c:f>
              <c:strCache>
                <c:ptCount val="5"/>
                <c:pt idx="0">
                  <c:v>Cash on Delivery</c:v>
                </c:pt>
                <c:pt idx="1">
                  <c:v>Credit Card</c:v>
                </c:pt>
                <c:pt idx="2">
                  <c:v>Debit Card</c:v>
                </c:pt>
                <c:pt idx="3">
                  <c:v>Net Banking</c:v>
                </c:pt>
                <c:pt idx="4">
                  <c:v>UPI</c:v>
                </c:pt>
              </c:strCache>
            </c:strRef>
          </c:cat>
          <c:val>
            <c:numRef>
              <c:f>Pivot_Table!$T$13:$T$18</c:f>
              <c:numCache>
                <c:formatCode>General</c:formatCode>
                <c:ptCount val="5"/>
                <c:pt idx="0">
                  <c:v>104677.3</c:v>
                </c:pt>
                <c:pt idx="1">
                  <c:v>68679.850000000006</c:v>
                </c:pt>
                <c:pt idx="2">
                  <c:v>91009.900000000009</c:v>
                </c:pt>
                <c:pt idx="3">
                  <c:v>56547.4</c:v>
                </c:pt>
                <c:pt idx="4">
                  <c:v>72229.149999999994</c:v>
                </c:pt>
              </c:numCache>
            </c:numRef>
          </c:val>
          <c:extLst>
            <c:ext xmlns:c16="http://schemas.microsoft.com/office/drawing/2014/chart" uri="{C3380CC4-5D6E-409C-BE32-E72D297353CC}">
              <c16:uniqueId val="{00000000-371E-44D9-AF32-0A96956F80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[E_Commerce_Order_Customer_DASHBOARD.xlsx]Pivot_Table!PivotTable1</c:name>
    <c:fmtId val="3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1697620888106"/>
          <c:y val="0.112670873666151"/>
          <c:w val="0.829219781602065"/>
          <c:h val="0.736562682008291"/>
        </c:manualLayout>
      </c:layout>
      <c:lineChart>
        <c:grouping val="standard"/>
        <c:varyColors val="0"/>
        <c:ser>
          <c:idx val="0"/>
          <c:order val="0"/>
          <c:tx>
            <c:strRef>
              <c:f>Pivot_Table!$E$2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Pivot_Table!$D$3:$D$12</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Pivot_Table!$E$3:$E$12</c:f>
              <c:numCache>
                <c:formatCode>General</c:formatCode>
                <c:ptCount val="8"/>
                <c:pt idx="0">
                  <c:v>39980.300000000003</c:v>
                </c:pt>
                <c:pt idx="1">
                  <c:v>51593.549999999996</c:v>
                </c:pt>
                <c:pt idx="2">
                  <c:v>49344.45</c:v>
                </c:pt>
                <c:pt idx="3">
                  <c:v>48113.500000000007</c:v>
                </c:pt>
                <c:pt idx="4">
                  <c:v>54953.450000000004</c:v>
                </c:pt>
                <c:pt idx="5">
                  <c:v>54410.200000000004</c:v>
                </c:pt>
                <c:pt idx="6">
                  <c:v>68669.850000000006</c:v>
                </c:pt>
                <c:pt idx="7">
                  <c:v>26078.3</c:v>
                </c:pt>
              </c:numCache>
            </c:numRef>
          </c:val>
          <c:smooth val="0"/>
          <c:extLst>
            <c:ext xmlns:c16="http://schemas.microsoft.com/office/drawing/2014/chart" uri="{C3380CC4-5D6E-409C-BE32-E72D297353CC}">
              <c16:uniqueId val="{00000000-566A-47A0-BC85-8A804E5A25FE}"/>
            </c:ext>
          </c:extLst>
        </c:ser>
        <c:dLbls>
          <c:dLblPos val="t"/>
          <c:showLegendKey val="0"/>
          <c:showVal val="1"/>
          <c:showCatName val="0"/>
          <c:showSerName val="0"/>
          <c:showPercent val="0"/>
          <c:showBubbleSize val="0"/>
        </c:dLbls>
        <c:marker val="1"/>
        <c:smooth val="0"/>
        <c:axId val="49861343"/>
        <c:axId val="49858015"/>
      </c:lineChart>
      <c:catAx>
        <c:axId val="4986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[E_Commerce_Order_Customer_DASHBOARD.xlsx]Pivot_Table!PivotTable4</c:name>
    <c:fmtId val="14"/>
  </c:pivotSource>
  <c:chart>
    <c:title>
      <c:tx>
        <c:rich>
          <a:bodyPr rot="0" spcFirstLastPara="1" vertOverflow="ellipsis" vert="horz" wrap="square" anchor="ctr" anchorCtr="1"/>
          <a:lstStyle/>
          <a:p>
            <a:pPr>
              <a:defRPr sz="1400" b="1" i="0" u="none" strike="noStrike" kern="1200" spc="0" baseline="0">
                <a:solidFill>
                  <a:schemeClr val="tx2">
                    <a:lumMod val="60000"/>
                    <a:lumOff val="40000"/>
                  </a:schemeClr>
                </a:solidFill>
                <a:latin typeface="+mn-lt"/>
                <a:ea typeface="+mn-ea"/>
                <a:cs typeface="+mn-cs"/>
              </a:defRPr>
            </a:pPr>
            <a:r>
              <a:rPr lang="en-US" b="1">
                <a:solidFill>
                  <a:schemeClr val="tx2">
                    <a:lumMod val="60000"/>
                    <a:lumOff val="40000"/>
                  </a:schemeClr>
                </a:solidFill>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Pivot_Table!$D$36:$D$40</c:f>
              <c:strCache>
                <c:ptCount val="4"/>
                <c:pt idx="0">
                  <c:v>East</c:v>
                </c:pt>
                <c:pt idx="1">
                  <c:v>North</c:v>
                </c:pt>
                <c:pt idx="2">
                  <c:v>South</c:v>
                </c:pt>
                <c:pt idx="3">
                  <c:v>West</c:v>
                </c:pt>
              </c:strCache>
            </c:strRef>
          </c:cat>
          <c:val>
            <c:numRef>
              <c:f>Pivot_Table!$E$36:$E$40</c:f>
              <c:numCache>
                <c:formatCode>General</c:formatCode>
                <c:ptCount val="4"/>
                <c:pt idx="0">
                  <c:v>79007.000000000015</c:v>
                </c:pt>
                <c:pt idx="1">
                  <c:v>62987.649999999994</c:v>
                </c:pt>
                <c:pt idx="2">
                  <c:v>112324.5</c:v>
                </c:pt>
                <c:pt idx="3">
                  <c:v>138824.45000000001</c:v>
                </c:pt>
              </c:numCache>
            </c:numRef>
          </c:val>
          <c:extLst>
            <c:ext xmlns:c16="http://schemas.microsoft.com/office/drawing/2014/chart" uri="{C3380CC4-5D6E-409C-BE32-E72D297353CC}">
              <c16:uniqueId val="{00000000-FA43-46D6-93BC-4FE730813FFA}"/>
            </c:ext>
          </c:extLst>
        </c:ser>
        <c:dLbls>
          <c:dLblPos val="outEnd"/>
          <c:showLegendKey val="0"/>
          <c:showVal val="1"/>
          <c:showCatName val="0"/>
          <c:showSerName val="0"/>
          <c:showPercent val="0"/>
          <c:showBubbleSize val="0"/>
        </c:dLbls>
        <c:gapWidth val="219"/>
        <c:axId val="3658447"/>
        <c:axId val="3661359"/>
      </c:barChart>
      <c:catAx>
        <c:axId val="36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5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[E_Commerce_Order_Customer_DASHBOARD.xlsx]Pivot_Table!PivotTable2</c:name>
    <c:fmtId val="12"/>
  </c:pivotSource>
  <c:chart>
    <c:title>
      <c:tx>
        <c:rich>
          <a:bodyPr rot="0" spcFirstLastPara="1" vertOverflow="ellipsis" vert="horz" wrap="square" anchor="ctr" anchorCtr="1"/>
          <a:lstStyle/>
          <a:p>
            <a:pPr>
              <a:defRPr sz="1400" b="1" i="0" u="none" strike="noStrike" kern="1200" spc="0" baseline="0">
                <a:solidFill>
                  <a:schemeClr val="tx2">
                    <a:lumMod val="60000"/>
                    <a:lumOff val="40000"/>
                  </a:schemeClr>
                </a:solidFill>
                <a:latin typeface="+mn-lt"/>
                <a:ea typeface="+mn-ea"/>
                <a:cs typeface="+mn-cs"/>
              </a:defRPr>
            </a:pPr>
            <a:r>
              <a:rPr lang="en-US" b="1">
                <a:solidFill>
                  <a:schemeClr val="tx2">
                    <a:lumMod val="60000"/>
                    <a:lumOff val="40000"/>
                  </a:schemeClr>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20000"/>
              <a:lumOff val="8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pivotFmt>
      <c:pivotFmt>
        <c:idx val="16"/>
        <c:spPr>
          <a:solidFill>
            <a:schemeClr val="accent5">
              <a:lumMod val="75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pivotFmt>
      <c:pivotFmt>
        <c:idx val="17"/>
        <c:spPr>
          <a:solidFill>
            <a:schemeClr val="accent5">
              <a:lumMod val="40000"/>
              <a:lumOff val="6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dLbl>
          <c:idx val="0"/>
          <c:layout>
            <c:manualLayout>
              <c:x val="1.0635539060676713E-3"/>
              <c:y val="-3.5209350280865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75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dLbl>
          <c:idx val="0"/>
          <c:layout>
            <c:manualLayout>
              <c:x val="-3.8931083190362224E-2"/>
              <c:y val="-9.5264100237363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60000"/>
              <a:lumOff val="4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dLbl>
          <c:idx val="0"/>
          <c:layout>
            <c:manualLayout>
              <c:x val="-6.6740299295363174E-3"/>
              <c:y val="2.2082545844451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40000"/>
              <a:lumOff val="6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dLbl>
          <c:idx val="0"/>
          <c:layout>
            <c:manualLayout>
              <c:x val="-1.1223681081895819E-2"/>
              <c:y val="2.0595733027877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Pivot_Table!$E$20</c:f>
              <c:strCache>
                <c:ptCount val="1"/>
                <c:pt idx="0">
                  <c:v>Total</c:v>
                </c:pt>
              </c:strCache>
            </c:strRef>
          </c:tx>
          <c:spPr>
            <a:effectLst>
              <a:outerShdw blurRad="50800" dist="50800" dir="5400000" sx="1000" sy="1000" algn="ctr" rotWithShape="0">
                <a:srgbClr val="000000">
                  <a:alpha val="43137"/>
                </a:srgbClr>
              </a:outerShdw>
              <a:softEdge rad="0"/>
            </a:effectLst>
            <a:scene3d>
              <a:camera prst="orthographicFront"/>
              <a:lightRig rig="threePt" dir="t"/>
            </a:scene3d>
            <a:sp3d>
              <a:bevelT w="0"/>
            </a:sp3d>
          </c:spPr>
          <c:dPt>
            <c:idx val="0"/>
            <c:bubble3D val="0"/>
            <c:spPr>
              <a:solidFill>
                <a:schemeClr val="tx2">
                  <a:lumMod val="20000"/>
                  <a:lumOff val="8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extLst>
              <c:ext xmlns:c16="http://schemas.microsoft.com/office/drawing/2014/chart" uri="{C3380CC4-5D6E-409C-BE32-E72D297353CC}">
                <c16:uniqueId val="{00000001-095E-41E7-8864-7256B0374EB3}"/>
              </c:ext>
            </c:extLst>
          </c:dPt>
          <c:dPt>
            <c:idx val="1"/>
            <c:bubble3D val="0"/>
            <c:spPr>
              <a:solidFill>
                <a:schemeClr val="accent5">
                  <a:lumMod val="75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extLst>
              <c:ext xmlns:c16="http://schemas.microsoft.com/office/drawing/2014/chart" uri="{C3380CC4-5D6E-409C-BE32-E72D297353CC}">
                <c16:uniqueId val="{00000003-095E-41E7-8864-7256B0374EB3}"/>
              </c:ext>
            </c:extLst>
          </c:dPt>
          <c:dPt>
            <c:idx val="2"/>
            <c:bubble3D val="0"/>
            <c:spPr>
              <a:solidFill>
                <a:schemeClr val="accent5">
                  <a:lumMod val="40000"/>
                  <a:lumOff val="6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extLst>
              <c:ext xmlns:c16="http://schemas.microsoft.com/office/drawing/2014/chart" uri="{C3380CC4-5D6E-409C-BE32-E72D297353CC}">
                <c16:uniqueId val="{00000005-095E-41E7-8864-7256B0374EB3}"/>
              </c:ext>
            </c:extLst>
          </c:dPt>
          <c:dPt>
            <c:idx val="3"/>
            <c:bubble3D val="0"/>
            <c:spPr>
              <a:solidFill>
                <a:schemeClr val="tx2">
                  <a:lumMod val="75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extLst>
              <c:ext xmlns:c16="http://schemas.microsoft.com/office/drawing/2014/chart" uri="{C3380CC4-5D6E-409C-BE32-E72D297353CC}">
                <c16:uniqueId val="{00000007-095E-41E7-8864-7256B0374EB3}"/>
              </c:ext>
            </c:extLst>
          </c:dPt>
          <c:dPt>
            <c:idx val="4"/>
            <c:bubble3D val="0"/>
            <c:spPr>
              <a:solidFill>
                <a:schemeClr val="tx2">
                  <a:lumMod val="60000"/>
                  <a:lumOff val="4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extLst>
              <c:ext xmlns:c16="http://schemas.microsoft.com/office/drawing/2014/chart" uri="{C3380CC4-5D6E-409C-BE32-E72D297353CC}">
                <c16:uniqueId val="{00000009-095E-41E7-8864-7256B0374EB3}"/>
              </c:ext>
            </c:extLst>
          </c:dPt>
          <c:dPt>
            <c:idx val="5"/>
            <c:bubble3D val="0"/>
            <c:spPr>
              <a:solidFill>
                <a:schemeClr val="tx2">
                  <a:lumMod val="40000"/>
                  <a:lumOff val="60000"/>
                </a:schemeClr>
              </a:solidFill>
              <a:ln w="19050">
                <a:solidFill>
                  <a:schemeClr val="lt1"/>
                </a:solidFill>
              </a:ln>
              <a:effectLst>
                <a:outerShdw blurRad="50800" dist="50800" dir="5400000" sx="1000" sy="1000" algn="ctr" rotWithShape="0">
                  <a:srgbClr val="000000">
                    <a:alpha val="43137"/>
                  </a:srgbClr>
                </a:outerShdw>
                <a:softEdge rad="0"/>
              </a:effectLst>
              <a:scene3d>
                <a:camera prst="orthographicFront"/>
                <a:lightRig rig="threePt" dir="t"/>
              </a:scene3d>
              <a:sp3d>
                <a:bevelT w="0"/>
              </a:sp3d>
            </c:spPr>
            <c:extLst>
              <c:ext xmlns:c16="http://schemas.microsoft.com/office/drawing/2014/chart" uri="{C3380CC4-5D6E-409C-BE32-E72D297353CC}">
                <c16:uniqueId val="{0000000B-095E-41E7-8864-7256B0374EB3}"/>
              </c:ext>
            </c:extLst>
          </c:dPt>
          <c:dLbls>
            <c:dLbl>
              <c:idx val="2"/>
              <c:layout>
                <c:manualLayout>
                  <c:x val="1.0635539060676713E-3"/>
                  <c:y val="-3.52093502808653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5E-41E7-8864-7256B0374EB3}"/>
                </c:ext>
              </c:extLst>
            </c:dLbl>
            <c:dLbl>
              <c:idx val="3"/>
              <c:layout>
                <c:manualLayout>
                  <c:x val="-3.8931083190362224E-2"/>
                  <c:y val="-9.52641002373639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5E-41E7-8864-7256B0374EB3}"/>
                </c:ext>
              </c:extLst>
            </c:dLbl>
            <c:dLbl>
              <c:idx val="4"/>
              <c:layout>
                <c:manualLayout>
                  <c:x val="-6.6740299295363174E-3"/>
                  <c:y val="2.20825458444516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95E-41E7-8864-7256B0374EB3}"/>
                </c:ext>
              </c:extLst>
            </c:dLbl>
            <c:dLbl>
              <c:idx val="5"/>
              <c:layout>
                <c:manualLayout>
                  <c:x val="-1.1223681081895819E-2"/>
                  <c:y val="2.05957330278779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95E-41E7-8864-7256B0374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Pivot_Table!$D$21:$D$27</c:f>
              <c:strCache>
                <c:ptCount val="6"/>
                <c:pt idx="0">
                  <c:v>Accessories</c:v>
                </c:pt>
                <c:pt idx="1">
                  <c:v>Beauty</c:v>
                </c:pt>
                <c:pt idx="2">
                  <c:v>Electronics</c:v>
                </c:pt>
                <c:pt idx="3">
                  <c:v>Fashion</c:v>
                </c:pt>
                <c:pt idx="4">
                  <c:v>Home &amp; Kitchen</c:v>
                </c:pt>
                <c:pt idx="5">
                  <c:v>Sports</c:v>
                </c:pt>
              </c:strCache>
            </c:strRef>
          </c:cat>
          <c:val>
            <c:numRef>
              <c:f>Pivot_Table!$E$21:$E$27</c:f>
              <c:numCache>
                <c:formatCode>General</c:formatCode>
                <c:ptCount val="6"/>
                <c:pt idx="0">
                  <c:v>18810.849999999999</c:v>
                </c:pt>
                <c:pt idx="1">
                  <c:v>16835.449999999997</c:v>
                </c:pt>
                <c:pt idx="2">
                  <c:v>140692.1</c:v>
                </c:pt>
                <c:pt idx="3">
                  <c:v>109891.34999999999</c:v>
                </c:pt>
                <c:pt idx="4">
                  <c:v>76566.25</c:v>
                </c:pt>
                <c:pt idx="5">
                  <c:v>30347.600000000006</c:v>
                </c:pt>
              </c:numCache>
            </c:numRef>
          </c:val>
          <c:extLst>
            <c:ext xmlns:c16="http://schemas.microsoft.com/office/drawing/2014/chart" uri="{C3380CC4-5D6E-409C-BE32-E72D297353CC}">
              <c16:uniqueId val="{0000000C-095E-41E7-8864-7256B0374E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32004320991721"/>
          <c:y val="0.29914105927800883"/>
          <c:w val="0.22245899433434427"/>
          <c:h val="0.43734881440899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[E_Commerce_Order_Customer_DASHBOARD.xlsx]Pivot_Table!PivotTable5</c:name>
    <c:fmtId val="18"/>
  </c:pivotSource>
  <c:chart>
    <c:title>
      <c:tx>
        <c:rich>
          <a:bodyPr rot="0" spcFirstLastPara="1" vertOverflow="ellipsis" vert="horz" wrap="square" anchor="ctr" anchorCtr="1"/>
          <a:lstStyle/>
          <a:p>
            <a:pPr>
              <a:defRPr sz="1400" b="1" i="0" u="none" strike="noStrike" kern="1200" spc="0" baseline="0">
                <a:solidFill>
                  <a:schemeClr val="tx2">
                    <a:lumMod val="60000"/>
                    <a:lumOff val="40000"/>
                  </a:schemeClr>
                </a:solidFill>
                <a:latin typeface="+mn-lt"/>
                <a:ea typeface="+mn-ea"/>
                <a:cs typeface="+mn-cs"/>
              </a:defRPr>
            </a:pPr>
            <a:r>
              <a:rPr lang="en-US" b="1">
                <a:solidFill>
                  <a:schemeClr val="tx2">
                    <a:lumMod val="60000"/>
                    <a:lumOff val="40000"/>
                  </a:schemeClr>
                </a:solidFill>
              </a:rPr>
              <a:t>Top 10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3407686769632"/>
          <c:y val="0.1508762987974063"/>
          <c:w val="0.79034506815090078"/>
          <c:h val="0.68960199112950382"/>
        </c:manualLayout>
      </c:layout>
      <c:barChart>
        <c:barDir val="bar"/>
        <c:grouping val="clustered"/>
        <c:varyColors val="0"/>
        <c:ser>
          <c:idx val="0"/>
          <c:order val="0"/>
          <c:tx>
            <c:strRef>
              <c:f>Pivot_Table!$E$54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Pivot_Table!$D$55:$D$65</c:f>
              <c:strCache>
                <c:ptCount val="10"/>
                <c:pt idx="0">
                  <c:v>Smart Watch</c:v>
                </c:pt>
                <c:pt idx="1">
                  <c:v>Running Shoes</c:v>
                </c:pt>
                <c:pt idx="2">
                  <c:v>Coffee Maker</c:v>
                </c:pt>
                <c:pt idx="3">
                  <c:v>Wireless Headphones</c:v>
                </c:pt>
                <c:pt idx="4">
                  <c:v>Yoga Mat</c:v>
                </c:pt>
                <c:pt idx="5">
                  <c:v>Denim Jeans</c:v>
                </c:pt>
                <c:pt idx="6">
                  <c:v>Bluetooth Speaker</c:v>
                </c:pt>
                <c:pt idx="7">
                  <c:v>Laptop Backpack</c:v>
                </c:pt>
                <c:pt idx="8">
                  <c:v>Water Bottle</c:v>
                </c:pt>
                <c:pt idx="9">
                  <c:v>Skincare Kit</c:v>
                </c:pt>
              </c:strCache>
            </c:strRef>
          </c:cat>
          <c:val>
            <c:numRef>
              <c:f>Pivot_Table!$E$55:$E$65</c:f>
              <c:numCache>
                <c:formatCode>General</c:formatCode>
                <c:ptCount val="10"/>
                <c:pt idx="0">
                  <c:v>72413.25</c:v>
                </c:pt>
                <c:pt idx="1">
                  <c:v>69558.75</c:v>
                </c:pt>
                <c:pt idx="2">
                  <c:v>62438.700000000004</c:v>
                </c:pt>
                <c:pt idx="3">
                  <c:v>40074.199999999997</c:v>
                </c:pt>
                <c:pt idx="4">
                  <c:v>30347.600000000006</c:v>
                </c:pt>
                <c:pt idx="5">
                  <c:v>29721.75</c:v>
                </c:pt>
                <c:pt idx="6">
                  <c:v>28204.649999999998</c:v>
                </c:pt>
                <c:pt idx="7">
                  <c:v>18810.849999999999</c:v>
                </c:pt>
                <c:pt idx="8">
                  <c:v>14127.55</c:v>
                </c:pt>
                <c:pt idx="9">
                  <c:v>11029.25</c:v>
                </c:pt>
              </c:numCache>
            </c:numRef>
          </c:val>
          <c:extLst>
            <c:ext xmlns:c16="http://schemas.microsoft.com/office/drawing/2014/chart" uri="{C3380CC4-5D6E-409C-BE32-E72D297353CC}">
              <c16:uniqueId val="{00000000-8765-42A4-BF39-ACD9D42117B9}"/>
            </c:ext>
          </c:extLst>
        </c:ser>
        <c:dLbls>
          <c:dLblPos val="outEnd"/>
          <c:showLegendKey val="0"/>
          <c:showVal val="1"/>
          <c:showCatName val="0"/>
          <c:showSerName val="0"/>
          <c:showPercent val="0"/>
          <c:showBubbleSize val="0"/>
        </c:dLbls>
        <c:gapWidth val="219"/>
        <c:axId val="6651503"/>
        <c:axId val="6657327"/>
      </c:barChart>
      <c:catAx>
        <c:axId val="665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[E_Commerce_Order_Customer_DASHBOARD.xlsx]Pivot_Table!PivotTable9</c:name>
    <c:fmtId val="18"/>
  </c:pivotSource>
  <c:chart>
    <c:title>
      <c:tx>
        <c:rich>
          <a:bodyPr rot="0" spcFirstLastPara="1" vertOverflow="ellipsis" vert="horz" wrap="square" anchor="ctr" anchorCtr="1"/>
          <a:lstStyle/>
          <a:p>
            <a:pPr>
              <a:defRPr sz="1600" b="1" i="0" u="none" strike="noStrike" kern="1200" spc="0" baseline="0">
                <a:solidFill>
                  <a:schemeClr val="tx2">
                    <a:lumMod val="60000"/>
                    <a:lumOff val="40000"/>
                  </a:schemeClr>
                </a:solidFill>
                <a:latin typeface="+mn-lt"/>
                <a:ea typeface="+mn-ea"/>
                <a:cs typeface="+mn-cs"/>
              </a:defRPr>
            </a:pPr>
            <a:r>
              <a:rPr lang="en-US" sz="1600" b="1">
                <a:solidFill>
                  <a:schemeClr val="tx2">
                    <a:lumMod val="60000"/>
                    <a:lumOff val="40000"/>
                  </a:schemeClr>
                </a:solidFill>
              </a:rPr>
              <a:t>Revenue by Customer Segment</a:t>
            </a:r>
          </a:p>
        </c:rich>
      </c:tx>
      <c:layout>
        <c:manualLayout>
          <c:xMode val="edge"/>
          <c:yMode val="edge"/>
          <c:x val="0.22152953259753175"/>
          <c:y val="0.11628339714102928"/>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cene3d>
            <a:camera prst="orthographicFront"/>
            <a:lightRig rig="threePt" dir="t"/>
          </a:scene3d>
          <a:sp3d contourW="25400">
            <a:bevelT w="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cene3d>
            <a:camera prst="orthographicFront"/>
            <a:lightRig rig="threePt" dir="t"/>
          </a:scene3d>
          <a:sp3d contourW="25400">
            <a:bevelT w="0"/>
            <a:contourClr>
              <a:schemeClr val="lt1"/>
            </a:contourClr>
          </a:sp3d>
        </c:spPr>
        <c:dLbl>
          <c:idx val="0"/>
          <c:layout>
            <c:manualLayout>
              <c:x val="5.0858747352012471E-2"/>
              <c:y val="-0.1364242980382739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25400">
            <a:solidFill>
              <a:schemeClr val="lt1"/>
            </a:solidFill>
          </a:ln>
          <a:effectLst/>
          <a:scene3d>
            <a:camera prst="orthographicFront"/>
            <a:lightRig rig="threePt" dir="t"/>
          </a:scene3d>
          <a:sp3d contourW="25400">
            <a:bevelT w="0"/>
            <a:contourClr>
              <a:schemeClr val="lt1"/>
            </a:contourClr>
          </a:sp3d>
        </c:spPr>
        <c:dLbl>
          <c:idx val="0"/>
          <c:layout>
            <c:manualLayout>
              <c:x val="-1.6394739997601826E-2"/>
              <c:y val="-1.8612109261701339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501698708981175"/>
                  <c:h val="5.6063481717846676E-2"/>
                </c:manualLayout>
              </c15:layout>
            </c:ext>
          </c:extLst>
        </c:dLbl>
      </c:pivotFmt>
      <c:pivotFmt>
        <c:idx val="11"/>
        <c:spPr>
          <a:solidFill>
            <a:schemeClr val="accent4">
              <a:lumMod val="20000"/>
              <a:lumOff val="80000"/>
            </a:schemeClr>
          </a:solidFill>
          <a:ln w="25400">
            <a:solidFill>
              <a:schemeClr val="lt1"/>
            </a:solidFill>
          </a:ln>
          <a:effectLst/>
          <a:scene3d>
            <a:camera prst="orthographicFront"/>
            <a:lightRig rig="threePt" dir="t"/>
          </a:scene3d>
          <a:sp3d contourW="25400">
            <a:bevelT w="0"/>
            <a:contourClr>
              <a:schemeClr val="lt1"/>
            </a:contourClr>
          </a:sp3d>
        </c:spPr>
        <c:dLbl>
          <c:idx val="0"/>
          <c:layout>
            <c:manualLayout>
              <c:x val="0.11916183700387706"/>
              <c:y val="-6.56521044063683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21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Pivot_Table!$E$78</c:f>
              <c:strCache>
                <c:ptCount val="1"/>
                <c:pt idx="0">
                  <c:v>Total</c:v>
                </c:pt>
              </c:strCache>
            </c:strRef>
          </c:tx>
          <c:spPr>
            <a:effectLst/>
            <a:scene3d>
              <a:camera prst="orthographicFront"/>
              <a:lightRig rig="threePt" dir="t"/>
            </a:scene3d>
            <a:sp3d>
              <a:bevelT w="0"/>
              <a:contourClr>
                <a:srgbClr val="000000"/>
              </a:contourClr>
            </a:sp3d>
          </c:spPr>
          <c:dPt>
            <c:idx val="0"/>
            <c:bubble3D val="0"/>
            <c:spPr>
              <a:solidFill>
                <a:schemeClr val="accent1"/>
              </a:solidFill>
              <a:ln w="25400">
                <a:solidFill>
                  <a:schemeClr val="lt1"/>
                </a:solidFill>
              </a:ln>
              <a:effectLst/>
              <a:scene3d>
                <a:camera prst="orthographicFront"/>
                <a:lightRig rig="threePt" dir="t"/>
              </a:scene3d>
              <a:sp3d contourW="25400">
                <a:bevelT w="0"/>
                <a:contourClr>
                  <a:schemeClr val="lt1"/>
                </a:contourClr>
              </a:sp3d>
            </c:spPr>
            <c:extLst>
              <c:ext xmlns:c16="http://schemas.microsoft.com/office/drawing/2014/chart" uri="{C3380CC4-5D6E-409C-BE32-E72D297353CC}">
                <c16:uniqueId val="{00000001-4C1E-467C-B7D2-80812F8E63ED}"/>
              </c:ext>
            </c:extLst>
          </c:dPt>
          <c:dPt>
            <c:idx val="1"/>
            <c:bubble3D val="0"/>
            <c:spPr>
              <a:solidFill>
                <a:schemeClr val="accent1">
                  <a:lumMod val="50000"/>
                </a:schemeClr>
              </a:solidFill>
              <a:ln w="25400">
                <a:solidFill>
                  <a:schemeClr val="lt1"/>
                </a:solidFill>
              </a:ln>
              <a:effectLst/>
              <a:scene3d>
                <a:camera prst="orthographicFront"/>
                <a:lightRig rig="threePt" dir="t"/>
              </a:scene3d>
              <a:sp3d contourW="25400">
                <a:bevelT w="0"/>
                <a:contourClr>
                  <a:schemeClr val="lt1"/>
                </a:contourClr>
              </a:sp3d>
            </c:spPr>
            <c:extLst>
              <c:ext xmlns:c16="http://schemas.microsoft.com/office/drawing/2014/chart" uri="{C3380CC4-5D6E-409C-BE32-E72D297353CC}">
                <c16:uniqueId val="{00000003-4C1E-467C-B7D2-80812F8E63ED}"/>
              </c:ext>
            </c:extLst>
          </c:dPt>
          <c:dPt>
            <c:idx val="2"/>
            <c:bubble3D val="0"/>
            <c:spPr>
              <a:solidFill>
                <a:schemeClr val="accent4">
                  <a:lumMod val="20000"/>
                  <a:lumOff val="80000"/>
                </a:schemeClr>
              </a:solidFill>
              <a:ln w="25400">
                <a:solidFill>
                  <a:schemeClr val="lt1"/>
                </a:solidFill>
              </a:ln>
              <a:effectLst/>
              <a:scene3d>
                <a:camera prst="orthographicFront"/>
                <a:lightRig rig="threePt" dir="t"/>
              </a:scene3d>
              <a:sp3d contourW="25400">
                <a:bevelT w="0"/>
                <a:contourClr>
                  <a:schemeClr val="lt1"/>
                </a:contourClr>
              </a:sp3d>
            </c:spPr>
            <c:extLst>
              <c:ext xmlns:c16="http://schemas.microsoft.com/office/drawing/2014/chart" uri="{C3380CC4-5D6E-409C-BE32-E72D297353CC}">
                <c16:uniqueId val="{00000005-4C1E-467C-B7D2-80812F8E63ED}"/>
              </c:ext>
            </c:extLst>
          </c:dPt>
          <c:dLbls>
            <c:dLbl>
              <c:idx val="0"/>
              <c:layout>
                <c:manualLayout>
                  <c:x val="5.0858747352012471E-2"/>
                  <c:y val="-0.1364242980382739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1E-467C-B7D2-80812F8E63ED}"/>
                </c:ext>
              </c:extLst>
            </c:dLbl>
            <c:dLbl>
              <c:idx val="1"/>
              <c:layout>
                <c:manualLayout>
                  <c:x val="-1.6394739997601826E-2"/>
                  <c:y val="-1.8612109261701339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501698708981175"/>
                      <c:h val="5.6063481717846676E-2"/>
                    </c:manualLayout>
                  </c15:layout>
                </c:ext>
                <c:ext xmlns:c16="http://schemas.microsoft.com/office/drawing/2014/chart" uri="{C3380CC4-5D6E-409C-BE32-E72D297353CC}">
                  <c16:uniqueId val="{00000003-4C1E-467C-B7D2-80812F8E63ED}"/>
                </c:ext>
              </c:extLst>
            </c:dLbl>
            <c:dLbl>
              <c:idx val="2"/>
              <c:layout>
                <c:manualLayout>
                  <c:x val="0.11916183700387706"/>
                  <c:y val="-6.56521044063683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1E-467C-B7D2-80812F8E63E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F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Pivot_Table!$D$79:$D$82</c:f>
              <c:strCache>
                <c:ptCount val="3"/>
                <c:pt idx="0">
                  <c:v>Loyal Customer</c:v>
                </c:pt>
                <c:pt idx="1">
                  <c:v>New Customer</c:v>
                </c:pt>
                <c:pt idx="2">
                  <c:v>Regular Customer</c:v>
                </c:pt>
              </c:strCache>
            </c:strRef>
          </c:cat>
          <c:val>
            <c:numRef>
              <c:f>Pivot_Table!$E$79:$E$82</c:f>
              <c:numCache>
                <c:formatCode>General</c:formatCode>
                <c:ptCount val="3"/>
                <c:pt idx="0">
                  <c:v>141179.74999999997</c:v>
                </c:pt>
                <c:pt idx="1">
                  <c:v>138472.90000000002</c:v>
                </c:pt>
                <c:pt idx="2">
                  <c:v>113490.94999999998</c:v>
                </c:pt>
              </c:numCache>
            </c:numRef>
          </c:val>
          <c:extLst>
            <c:ext xmlns:c16="http://schemas.microsoft.com/office/drawing/2014/chart" uri="{C3380CC4-5D6E-409C-BE32-E72D297353CC}">
              <c16:uniqueId val="{00000006-4C1E-467C-B7D2-80812F8E63E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3592989328110636"/>
          <c:y val="0.37370230344642874"/>
          <c:w val="0.20315640113513728"/>
          <c:h val="0.2313709036702402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dbl"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[E_Commerce_Order_Customer_DASHBOARD.xlsx]Pivot_Table!PivotTable10</c:name>
    <c:fmtId val="18"/>
  </c:pivotSource>
  <c:chart>
    <c:title>
      <c:tx>
        <c:rich>
          <a:bodyPr rot="0" spcFirstLastPara="1" vertOverflow="ellipsis" vert="horz" wrap="square" anchor="ctr" anchorCtr="1"/>
          <a:lstStyle/>
          <a:p>
            <a:pPr>
              <a:defRPr sz="1800" b="1" i="0" u="none" strike="noStrike" kern="1200" spc="0" baseline="0">
                <a:solidFill>
                  <a:schemeClr val="tx2">
                    <a:lumMod val="60000"/>
                    <a:lumOff val="40000"/>
                  </a:schemeClr>
                </a:solidFill>
                <a:latin typeface="+mn-lt"/>
                <a:ea typeface="+mn-ea"/>
                <a:cs typeface="+mn-cs"/>
              </a:defRPr>
            </a:pPr>
            <a:r>
              <a:rPr lang="en-US" sz="1800" b="1">
                <a:solidFill>
                  <a:schemeClr val="tx2">
                    <a:lumMod val="60000"/>
                    <a:lumOff val="40000"/>
                  </a:schemeClr>
                </a:solidFill>
              </a:rPr>
              <a:t>Payment Method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7898750939896654E-2"/>
              <c:y val="-8.409523023331683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w="19050">
            <a:solidFill>
              <a:schemeClr val="lt1"/>
            </a:solidFill>
          </a:ln>
          <a:effectLst/>
        </c:spPr>
        <c:dLbl>
          <c:idx val="0"/>
          <c:layout>
            <c:manualLayout>
              <c:x val="0.11316458489982763"/>
              <c:y val="-8.409523023331680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40000"/>
              <a:lumOff val="60000"/>
            </a:schemeClr>
          </a:solidFill>
          <a:ln w="19050">
            <a:solidFill>
              <a:schemeClr val="lt1"/>
            </a:solidFill>
          </a:ln>
          <a:effectLst/>
        </c:spPr>
        <c:dLbl>
          <c:idx val="0"/>
          <c:layout>
            <c:manualLayout>
              <c:x val="-6.4416763712209668E-2"/>
              <c:y val="7.00793585277639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227266153370571E-2"/>
              <c:y val="-1.681904604666336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6603719009114196E-2"/>
              <c:y val="-7.568570720998513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0055585908502"/>
          <c:y val="0.15242052261677086"/>
          <c:w val="0.44882205530676439"/>
          <c:h val="0.78463138189720627"/>
        </c:manualLayout>
      </c:layout>
      <c:doughnutChart>
        <c:varyColors val="1"/>
        <c:ser>
          <c:idx val="0"/>
          <c:order val="0"/>
          <c:tx>
            <c:strRef>
              <c:f>Pivot_Table!$T$12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19-4BA2-8E05-CDE9507537C3}"/>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0319-4BA2-8E05-CDE9507537C3}"/>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0319-4BA2-8E05-CDE9507537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19-4BA2-8E05-CDE9507537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19-4BA2-8E05-CDE9507537C3}"/>
              </c:ext>
            </c:extLst>
          </c:dPt>
          <c:dLbls>
            <c:dLbl>
              <c:idx val="0"/>
              <c:layout>
                <c:manualLayout>
                  <c:x val="6.7898750939896654E-2"/>
                  <c:y val="-8.40952302333168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19-4BA2-8E05-CDE9507537C3}"/>
                </c:ext>
              </c:extLst>
            </c:dLbl>
            <c:dLbl>
              <c:idx val="1"/>
              <c:layout>
                <c:manualLayout>
                  <c:x val="0.11316458489982763"/>
                  <c:y val="-8.40952302333168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19-4BA2-8E05-CDE9507537C3}"/>
                </c:ext>
              </c:extLst>
            </c:dLbl>
            <c:dLbl>
              <c:idx val="2"/>
              <c:layout>
                <c:manualLayout>
                  <c:x val="-6.4416763712209668E-2"/>
                  <c:y val="7.0079358527763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19-4BA2-8E05-CDE9507537C3}"/>
                </c:ext>
              </c:extLst>
            </c:dLbl>
            <c:dLbl>
              <c:idx val="3"/>
              <c:layout>
                <c:manualLayout>
                  <c:x val="-9.227266153370571E-2"/>
                  <c:y val="-1.68190460466633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19-4BA2-8E05-CDE9507537C3}"/>
                </c:ext>
              </c:extLst>
            </c:dLbl>
            <c:dLbl>
              <c:idx val="4"/>
              <c:layout>
                <c:manualLayout>
                  <c:x val="-7.6603719009114196E-2"/>
                  <c:y val="-7.56857072099851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319-4BA2-8E05-CDE9507537C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Pivot_Table!$S$13:$S$18</c:f>
              <c:strCache>
                <c:ptCount val="5"/>
                <c:pt idx="0">
                  <c:v>Cash on Delivery</c:v>
                </c:pt>
                <c:pt idx="1">
                  <c:v>Credit Card</c:v>
                </c:pt>
                <c:pt idx="2">
                  <c:v>Debit Card</c:v>
                </c:pt>
                <c:pt idx="3">
                  <c:v>Net Banking</c:v>
                </c:pt>
                <c:pt idx="4">
                  <c:v>UPI</c:v>
                </c:pt>
              </c:strCache>
            </c:strRef>
          </c:cat>
          <c:val>
            <c:numRef>
              <c:f>Pivot_Table!$T$13:$T$18</c:f>
              <c:numCache>
                <c:formatCode>General</c:formatCode>
                <c:ptCount val="5"/>
                <c:pt idx="0">
                  <c:v>104677.3</c:v>
                </c:pt>
                <c:pt idx="1">
                  <c:v>68679.850000000006</c:v>
                </c:pt>
                <c:pt idx="2">
                  <c:v>91009.900000000009</c:v>
                </c:pt>
                <c:pt idx="3">
                  <c:v>56547.4</c:v>
                </c:pt>
                <c:pt idx="4">
                  <c:v>72229.149999999994</c:v>
                </c:pt>
              </c:numCache>
            </c:numRef>
          </c:val>
          <c:extLst>
            <c:ext xmlns:c16="http://schemas.microsoft.com/office/drawing/2014/chart" uri="{C3380CC4-5D6E-409C-BE32-E72D297353CC}">
              <c16:uniqueId val="{0000000A-0319-4BA2-8E05-CDE9507537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830400490219939"/>
          <c:y val="0.3261363119672589"/>
          <c:w val="0.24125003341473961"/>
          <c:h val="0.3272639826529860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hyperlink" Target="#CLEAN_Data!A1"/><Relationship Id="rId2" Type="http://schemas.openxmlformats.org/officeDocument/2006/relationships/image" Target="../media/image2.svg"/><Relationship Id="rId16" Type="http://schemas.openxmlformats.org/officeDocument/2006/relationships/hyperlink" Target="#Pivot_Table!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hyperlink" Target="#DASHBOARD!A1"/><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22</xdr:col>
      <xdr:colOff>299357</xdr:colOff>
      <xdr:row>2</xdr:row>
      <xdr:rowOff>0</xdr:rowOff>
    </xdr:from>
    <xdr:to>
      <xdr:col>25</xdr:col>
      <xdr:colOff>557893</xdr:colOff>
      <xdr:row>10</xdr:row>
      <xdr:rowOff>149678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484DA49-F452-4093-9389-093AAA9C11B4}"/>
            </a:ext>
          </a:extLst>
        </xdr:cNvPr>
        <xdr:cNvSpPr/>
      </xdr:nvSpPr>
      <xdr:spPr>
        <a:xfrm>
          <a:off x="21621750" y="353786"/>
          <a:ext cx="2258786" cy="15648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BACK</a:t>
          </a:r>
          <a:r>
            <a:rPr lang="en-IN" sz="2000" b="1" baseline="0">
              <a:solidFill>
                <a:schemeClr val="bg1"/>
              </a:solidFill>
            </a:rPr>
            <a:t> TO DASHBOARD</a:t>
          </a:r>
          <a:endParaRPr lang="en-IN"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298274</xdr:colOff>
      <xdr:row>0</xdr:row>
      <xdr:rowOff>139881</xdr:rowOff>
    </xdr:from>
    <xdr:to>
      <xdr:col>12</xdr:col>
      <xdr:colOff>603074</xdr:colOff>
      <xdr:row>15</xdr:row>
      <xdr:rowOff>139881</xdr:rowOff>
    </xdr:to>
    <xdr:graphicFrame macro="">
      <xdr:nvGraphicFramePr>
        <xdr:cNvPr id="2" name="Chart 1">
          <a:extLst>
            <a:ext uri="{FF2B5EF4-FFF2-40B4-BE49-F238E27FC236}">
              <a16:creationId xmlns:a16="http://schemas.microsoft.com/office/drawing/2014/main" id="{7CD7E0D4-4990-4779-9564-7D3A143E1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278136</xdr:colOff>
      <xdr:row>17</xdr:row>
      <xdr:rowOff>38100</xdr:rowOff>
    </xdr:from>
    <xdr:to>
      <xdr:col>12</xdr:col>
      <xdr:colOff>582936</xdr:colOff>
      <xdr:row>32</xdr:row>
      <xdr:rowOff>38101</xdr:rowOff>
    </xdr:to>
    <xdr:graphicFrame macro="">
      <xdr:nvGraphicFramePr>
        <xdr:cNvPr id="3" name="Chart 2">
          <a:extLst>
            <a:ext uri="{FF2B5EF4-FFF2-40B4-BE49-F238E27FC236}">
              <a16:creationId xmlns:a16="http://schemas.microsoft.com/office/drawing/2014/main" id="{70BB2CD4-D84F-409E-BD26-1DB6B4E27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251732</xdr:colOff>
      <xdr:row>34</xdr:row>
      <xdr:rowOff>16329</xdr:rowOff>
    </xdr:from>
    <xdr:to>
      <xdr:col>12</xdr:col>
      <xdr:colOff>537482</xdr:colOff>
      <xdr:row>49</xdr:row>
      <xdr:rowOff>106136</xdr:rowOff>
    </xdr:to>
    <xdr:graphicFrame macro="">
      <xdr:nvGraphicFramePr>
        <xdr:cNvPr id="4" name="Chart 3">
          <a:extLst>
            <a:ext uri="{FF2B5EF4-FFF2-40B4-BE49-F238E27FC236}">
              <a16:creationId xmlns:a16="http://schemas.microsoft.com/office/drawing/2014/main" id="{4CFD1143-801E-46F6-BEA6-F6490DE3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282246</xdr:colOff>
      <xdr:row>53</xdr:row>
      <xdr:rowOff>4371</xdr:rowOff>
    </xdr:from>
    <xdr:to>
      <xdr:col>12</xdr:col>
      <xdr:colOff>564697</xdr:colOff>
      <xdr:row>68</xdr:row>
      <xdr:rowOff>102012</xdr:rowOff>
    </xdr:to>
    <xdr:graphicFrame macro="">
      <xdr:nvGraphicFramePr>
        <xdr:cNvPr id="5" name="Chart 4">
          <a:extLst>
            <a:ext uri="{FF2B5EF4-FFF2-40B4-BE49-F238E27FC236}">
              <a16:creationId xmlns:a16="http://schemas.microsoft.com/office/drawing/2014/main" id="{A1D3E5DD-80C6-451B-A0A8-37B132C5B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294410</xdr:colOff>
      <xdr:row>70</xdr:row>
      <xdr:rowOff>146627</xdr:rowOff>
    </xdr:from>
    <xdr:to>
      <xdr:col>12</xdr:col>
      <xdr:colOff>583046</xdr:colOff>
      <xdr:row>85</xdr:row>
      <xdr:rowOff>118918</xdr:rowOff>
    </xdr:to>
    <xdr:graphicFrame macro="">
      <xdr:nvGraphicFramePr>
        <xdr:cNvPr id="6" name="Chart 5">
          <a:extLst>
            <a:ext uri="{FF2B5EF4-FFF2-40B4-BE49-F238E27FC236}">
              <a16:creationId xmlns:a16="http://schemas.microsoft.com/office/drawing/2014/main" id="{27DD2ABC-314E-4889-996F-3482EB1D4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381000</xdr:colOff>
      <xdr:row>6</xdr:row>
      <xdr:rowOff>123092</xdr:rowOff>
    </xdr:from>
    <xdr:to>
      <xdr:col>28</xdr:col>
      <xdr:colOff>29308</xdr:colOff>
      <xdr:row>22</xdr:row>
      <xdr:rowOff>52754</xdr:rowOff>
    </xdr:to>
    <xdr:graphicFrame macro="">
      <xdr:nvGraphicFramePr>
        <xdr:cNvPr id="7" name="Chart 6">
          <a:extLst>
            <a:ext uri="{FF2B5EF4-FFF2-40B4-BE49-F238E27FC236}">
              <a16:creationId xmlns:a16="http://schemas.microsoft.com/office/drawing/2014/main" id="{600DE325-D63D-4E44-824B-C88E427B6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289954</xdr:colOff>
      <xdr:row>37</xdr:row>
      <xdr:rowOff>12968</xdr:rowOff>
    </xdr:from>
    <xdr:to>
      <xdr:col>19</xdr:col>
      <xdr:colOff>313756</xdr:colOff>
      <xdr:row>50</xdr:row>
      <xdr:rowOff>46890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56631E5-216B-409C-B6E9-9B30B299E9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56685" y="6519276"/>
              <a:ext cx="1826225" cy="2319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185390</xdr:colOff>
      <xdr:row>22</xdr:row>
      <xdr:rowOff>100127</xdr:rowOff>
    </xdr:from>
    <xdr:to>
      <xdr:col>19</xdr:col>
      <xdr:colOff>194520</xdr:colOff>
      <xdr:row>35</xdr:row>
      <xdr:rowOff>134048</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66715B4A-0D0E-4850-9863-6CF9BFBF87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52121" y="3968742"/>
              <a:ext cx="1811553" cy="2319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52134</xdr:colOff>
      <xdr:row>51</xdr:row>
      <xdr:rowOff>55883</xdr:rowOff>
    </xdr:from>
    <xdr:to>
      <xdr:col>16</xdr:col>
      <xdr:colOff>534012</xdr:colOff>
      <xdr:row>64</xdr:row>
      <xdr:rowOff>89805</xdr:rowOff>
    </xdr:to>
    <mc:AlternateContent xmlns:mc="http://schemas.openxmlformats.org/markup-compatibility/2006">
      <mc:Choice xmlns:a14="http://schemas.microsoft.com/office/drawing/2010/main" Requires="a14">
        <xdr:graphicFrame macro="">
          <xdr:nvGraphicFramePr>
            <xdr:cNvPr id="10" name="Payment Method 1">
              <a:extLst>
                <a:ext uri="{FF2B5EF4-FFF2-40B4-BE49-F238E27FC236}">
                  <a16:creationId xmlns:a16="http://schemas.microsoft.com/office/drawing/2014/main" id="{EF7F4775-D8A7-46CF-8319-E8E582F1A35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3196634" y="9024037"/>
              <a:ext cx="1830032" cy="2319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605557</xdr:colOff>
      <xdr:row>37</xdr:row>
      <xdr:rowOff>12944</xdr:rowOff>
    </xdr:from>
    <xdr:to>
      <xdr:col>16</xdr:col>
      <xdr:colOff>426229</xdr:colOff>
      <xdr:row>50</xdr:row>
      <xdr:rowOff>46866</xdr:rowOff>
    </xdr:to>
    <mc:AlternateContent xmlns:mc="http://schemas.openxmlformats.org/markup-compatibility/2006">
      <mc:Choice xmlns:a14="http://schemas.microsoft.com/office/drawing/2010/main" Requires="a14">
        <xdr:graphicFrame macro="">
          <xdr:nvGraphicFramePr>
            <xdr:cNvPr id="11" name="Order Status 1">
              <a:extLst>
                <a:ext uri="{FF2B5EF4-FFF2-40B4-BE49-F238E27FC236}">
                  <a16:creationId xmlns:a16="http://schemas.microsoft.com/office/drawing/2014/main" id="{C35B926B-DA69-487C-95E5-4AEA57E80DE3}"/>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13075980" y="6519252"/>
              <a:ext cx="1842903" cy="2319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546641</xdr:colOff>
      <xdr:row>22</xdr:row>
      <xdr:rowOff>117384</xdr:rowOff>
    </xdr:from>
    <xdr:to>
      <xdr:col>16</xdr:col>
      <xdr:colOff>367313</xdr:colOff>
      <xdr:row>35</xdr:row>
      <xdr:rowOff>151307</xdr:rowOff>
    </xdr:to>
    <mc:AlternateContent xmlns:mc="http://schemas.openxmlformats.org/markup-compatibility/2006">
      <mc:Choice xmlns:a14="http://schemas.microsoft.com/office/drawing/2010/main" Requires="a14">
        <xdr:graphicFrame macro="">
          <xdr:nvGraphicFramePr>
            <xdr:cNvPr id="12" name="Customer Segment">
              <a:extLst>
                <a:ext uri="{FF2B5EF4-FFF2-40B4-BE49-F238E27FC236}">
                  <a16:creationId xmlns:a16="http://schemas.microsoft.com/office/drawing/2014/main" id="{5E6ABA36-FFEF-4765-81DA-639184DB494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3017064" y="3985999"/>
              <a:ext cx="1842903" cy="2319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136357</xdr:colOff>
      <xdr:row>0</xdr:row>
      <xdr:rowOff>120316</xdr:rowOff>
    </xdr:from>
    <xdr:to>
      <xdr:col>2</xdr:col>
      <xdr:colOff>368967</xdr:colOff>
      <xdr:row>5</xdr:row>
      <xdr:rowOff>56147</xdr:rowOff>
    </xdr:to>
    <xdr:sp macro="" textlink="">
      <xdr:nvSpPr>
        <xdr:cNvPr id="20" name="Rectangle: Rounded Corners 19">
          <a:hlinkClick xmlns:r="http://schemas.openxmlformats.org/officeDocument/2006/relationships" r:id="rId7"/>
          <a:extLst>
            <a:ext uri="{FF2B5EF4-FFF2-40B4-BE49-F238E27FC236}">
              <a16:creationId xmlns:a16="http://schemas.microsoft.com/office/drawing/2014/main" id="{4842E2AE-0003-4B9D-987C-BD9869B53848}"/>
            </a:ext>
          </a:extLst>
        </xdr:cNvPr>
        <xdr:cNvSpPr/>
      </xdr:nvSpPr>
      <xdr:spPr>
        <a:xfrm>
          <a:off x="136357" y="120316"/>
          <a:ext cx="2767263" cy="8181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BACK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38099</xdr:rowOff>
    </xdr:from>
    <xdr:to>
      <xdr:col>41</xdr:col>
      <xdr:colOff>467033</xdr:colOff>
      <xdr:row>76</xdr:row>
      <xdr:rowOff>29881</xdr:rowOff>
    </xdr:to>
    <xdr:sp macro="" textlink="">
      <xdr:nvSpPr>
        <xdr:cNvPr id="2" name="Rectangle: Rounded Corners 1">
          <a:extLst>
            <a:ext uri="{FF2B5EF4-FFF2-40B4-BE49-F238E27FC236}">
              <a16:creationId xmlns:a16="http://schemas.microsoft.com/office/drawing/2014/main" id="{63BD4EF8-1515-443C-B2A0-61177FD72A3B}"/>
            </a:ext>
          </a:extLst>
        </xdr:cNvPr>
        <xdr:cNvSpPr/>
      </xdr:nvSpPr>
      <xdr:spPr>
        <a:xfrm>
          <a:off x="38100" y="38099"/>
          <a:ext cx="27688868" cy="13068685"/>
        </a:xfrm>
        <a:prstGeom prst="roundRect">
          <a:avLst>
            <a:gd name="adj" fmla="val 4050"/>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371001</xdr:colOff>
      <xdr:row>7</xdr:row>
      <xdr:rowOff>18123</xdr:rowOff>
    </xdr:from>
    <xdr:to>
      <xdr:col>40</xdr:col>
      <xdr:colOff>261632</xdr:colOff>
      <xdr:row>72</xdr:row>
      <xdr:rowOff>147102</xdr:rowOff>
    </xdr:to>
    <xdr:sp macro="" textlink="">
      <xdr:nvSpPr>
        <xdr:cNvPr id="3" name="Rectangle: Rounded Corners 2">
          <a:extLst>
            <a:ext uri="{FF2B5EF4-FFF2-40B4-BE49-F238E27FC236}">
              <a16:creationId xmlns:a16="http://schemas.microsoft.com/office/drawing/2014/main" id="{B97033A6-CBE1-4A8B-BFC7-6CFE8CE28D00}"/>
            </a:ext>
          </a:extLst>
        </xdr:cNvPr>
        <xdr:cNvSpPr/>
      </xdr:nvSpPr>
      <xdr:spPr>
        <a:xfrm>
          <a:off x="1718538" y="1253365"/>
          <a:ext cx="25541957" cy="11599084"/>
        </a:xfrm>
        <a:prstGeom prst="roundRect">
          <a:avLst>
            <a:gd name="adj" fmla="val 3426"/>
          </a:avLst>
        </a:prstGeom>
        <a:solidFill>
          <a:schemeClr val="bg1">
            <a:lumMod val="95000"/>
          </a:schemeClr>
        </a:solidFill>
        <a:ln>
          <a:solidFill>
            <a:schemeClr val="accent1">
              <a:shade val="50000"/>
            </a:schemeClr>
          </a:solidFill>
        </a:ln>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300331</xdr:colOff>
      <xdr:row>8</xdr:row>
      <xdr:rowOff>24757</xdr:rowOff>
    </xdr:from>
    <xdr:to>
      <xdr:col>39</xdr:col>
      <xdr:colOff>488161</xdr:colOff>
      <xdr:row>17</xdr:row>
      <xdr:rowOff>5260</xdr:rowOff>
    </xdr:to>
    <xdr:sp macro="" textlink="">
      <xdr:nvSpPr>
        <xdr:cNvPr id="4" name="Rectangle: Rounded Corners 3">
          <a:extLst>
            <a:ext uri="{FF2B5EF4-FFF2-40B4-BE49-F238E27FC236}">
              <a16:creationId xmlns:a16="http://schemas.microsoft.com/office/drawing/2014/main" id="{E61DFFBC-CC7A-450C-BC00-EDDB0C3C7AC4}"/>
            </a:ext>
          </a:extLst>
        </xdr:cNvPr>
        <xdr:cNvSpPr/>
      </xdr:nvSpPr>
      <xdr:spPr>
        <a:xfrm>
          <a:off x="4300831" y="1439900"/>
          <a:ext cx="22245009" cy="1572539"/>
        </a:xfrm>
        <a:prstGeom prst="roundRect">
          <a:avLst/>
        </a:prstGeom>
        <a:ln>
          <a:solidFill>
            <a:schemeClr val="accent1">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412191</xdr:colOff>
      <xdr:row>9</xdr:row>
      <xdr:rowOff>34809</xdr:rowOff>
    </xdr:from>
    <xdr:to>
      <xdr:col>6</xdr:col>
      <xdr:colOff>123825</xdr:colOff>
      <xdr:row>71</xdr:row>
      <xdr:rowOff>8630</xdr:rowOff>
    </xdr:to>
    <xdr:sp macro="" textlink="">
      <xdr:nvSpPr>
        <xdr:cNvPr id="5" name="Rectangle: Rounded Corners 4">
          <a:extLst>
            <a:ext uri="{FF2B5EF4-FFF2-40B4-BE49-F238E27FC236}">
              <a16:creationId xmlns:a16="http://schemas.microsoft.com/office/drawing/2014/main" id="{C11888D1-4C93-4BF0-9031-B2B91DC20A1C}"/>
            </a:ext>
          </a:extLst>
        </xdr:cNvPr>
        <xdr:cNvSpPr/>
      </xdr:nvSpPr>
      <xdr:spPr>
        <a:xfrm>
          <a:off x="1751464" y="1593445"/>
          <a:ext cx="2390179" cy="1071109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448487</xdr:colOff>
      <xdr:row>18</xdr:row>
      <xdr:rowOff>4844</xdr:rowOff>
    </xdr:from>
    <xdr:to>
      <xdr:col>12</xdr:col>
      <xdr:colOff>558800</xdr:colOff>
      <xdr:row>25</xdr:row>
      <xdr:rowOff>118534</xdr:rowOff>
    </xdr:to>
    <xdr:sp macro="" textlink="">
      <xdr:nvSpPr>
        <xdr:cNvPr id="6" name="Rectangle: Rounded Corners 5">
          <a:extLst>
            <a:ext uri="{FF2B5EF4-FFF2-40B4-BE49-F238E27FC236}">
              <a16:creationId xmlns:a16="http://schemas.microsoft.com/office/drawing/2014/main" id="{A538F7C4-B10C-4822-8429-D0C25E88D3B3}"/>
            </a:ext>
          </a:extLst>
        </xdr:cNvPr>
        <xdr:cNvSpPr/>
      </xdr:nvSpPr>
      <xdr:spPr>
        <a:xfrm>
          <a:off x="4512487" y="3052844"/>
          <a:ext cx="4174313" cy="129902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56446</xdr:colOff>
      <xdr:row>18</xdr:row>
      <xdr:rowOff>49389</xdr:rowOff>
    </xdr:from>
    <xdr:to>
      <xdr:col>18</xdr:col>
      <xdr:colOff>445155</xdr:colOff>
      <xdr:row>25</xdr:row>
      <xdr:rowOff>83425</xdr:rowOff>
    </xdr:to>
    <xdr:sp macro="" textlink="">
      <xdr:nvSpPr>
        <xdr:cNvPr id="7" name="Rectangle: Rounded Corners 6">
          <a:extLst>
            <a:ext uri="{FF2B5EF4-FFF2-40B4-BE49-F238E27FC236}">
              <a16:creationId xmlns:a16="http://schemas.microsoft.com/office/drawing/2014/main" id="{8002E67C-B910-4217-AA27-D5DE6C0C60C3}"/>
            </a:ext>
          </a:extLst>
        </xdr:cNvPr>
        <xdr:cNvSpPr/>
      </xdr:nvSpPr>
      <xdr:spPr>
        <a:xfrm>
          <a:off x="8770057" y="3224389"/>
          <a:ext cx="3740098" cy="126875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592666</xdr:colOff>
      <xdr:row>18</xdr:row>
      <xdr:rowOff>49389</xdr:rowOff>
    </xdr:from>
    <xdr:to>
      <xdr:col>25</xdr:col>
      <xdr:colOff>141111</xdr:colOff>
      <xdr:row>25</xdr:row>
      <xdr:rowOff>50431</xdr:rowOff>
    </xdr:to>
    <xdr:sp macro="" textlink="">
      <xdr:nvSpPr>
        <xdr:cNvPr id="8" name="Rectangle: Rounded Corners 7">
          <a:extLst>
            <a:ext uri="{FF2B5EF4-FFF2-40B4-BE49-F238E27FC236}">
              <a16:creationId xmlns:a16="http://schemas.microsoft.com/office/drawing/2014/main" id="{736A7028-DEC1-4F33-B585-53BA6F5C2DDB}"/>
            </a:ext>
          </a:extLst>
        </xdr:cNvPr>
        <xdr:cNvSpPr/>
      </xdr:nvSpPr>
      <xdr:spPr>
        <a:xfrm>
          <a:off x="12657666" y="3224389"/>
          <a:ext cx="4240389" cy="123576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282222</xdr:colOff>
      <xdr:row>18</xdr:row>
      <xdr:rowOff>20196</xdr:rowOff>
    </xdr:from>
    <xdr:to>
      <xdr:col>31</xdr:col>
      <xdr:colOff>541420</xdr:colOff>
      <xdr:row>25</xdr:row>
      <xdr:rowOff>46199</xdr:rowOff>
    </xdr:to>
    <xdr:sp macro="" textlink="">
      <xdr:nvSpPr>
        <xdr:cNvPr id="9" name="Rectangle: Rounded Corners 8">
          <a:extLst>
            <a:ext uri="{FF2B5EF4-FFF2-40B4-BE49-F238E27FC236}">
              <a16:creationId xmlns:a16="http://schemas.microsoft.com/office/drawing/2014/main" id="{C370F82C-D24F-472C-B468-88154626EF97}"/>
            </a:ext>
          </a:extLst>
        </xdr:cNvPr>
        <xdr:cNvSpPr/>
      </xdr:nvSpPr>
      <xdr:spPr>
        <a:xfrm>
          <a:off x="17076301" y="3088249"/>
          <a:ext cx="4289777" cy="121913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121920</xdr:colOff>
      <xdr:row>1</xdr:row>
      <xdr:rowOff>162458</xdr:rowOff>
    </xdr:from>
    <xdr:to>
      <xdr:col>39</xdr:col>
      <xdr:colOff>533400</xdr:colOff>
      <xdr:row>5</xdr:row>
      <xdr:rowOff>60960</xdr:rowOff>
    </xdr:to>
    <xdr:sp macro="" textlink="">
      <xdr:nvSpPr>
        <xdr:cNvPr id="10" name="TextBox 9">
          <a:extLst>
            <a:ext uri="{FF2B5EF4-FFF2-40B4-BE49-F238E27FC236}">
              <a16:creationId xmlns:a16="http://schemas.microsoft.com/office/drawing/2014/main" id="{E5EC886A-7A1F-402F-A021-FCBC775C26FC}"/>
            </a:ext>
          </a:extLst>
        </xdr:cNvPr>
        <xdr:cNvSpPr txBox="1"/>
      </xdr:nvSpPr>
      <xdr:spPr>
        <a:xfrm>
          <a:off x="1463040" y="345338"/>
          <a:ext cx="25283160" cy="630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chemeClr val="bg1">
                  <a:lumMod val="95000"/>
                </a:schemeClr>
              </a:solidFill>
            </a:rPr>
            <a:t>E-Commerce Order &amp; Customer Analytics </a:t>
          </a:r>
        </a:p>
      </xdr:txBody>
    </xdr:sp>
    <xdr:clientData/>
  </xdr:twoCellAnchor>
  <xdr:twoCellAnchor editAs="oneCell">
    <xdr:from>
      <xdr:col>6</xdr:col>
      <xdr:colOff>599626</xdr:colOff>
      <xdr:row>19</xdr:row>
      <xdr:rowOff>16829</xdr:rowOff>
    </xdr:from>
    <xdr:to>
      <xdr:col>8</xdr:col>
      <xdr:colOff>174425</xdr:colOff>
      <xdr:row>24</xdr:row>
      <xdr:rowOff>57724</xdr:rowOff>
    </xdr:to>
    <xdr:pic>
      <xdr:nvPicPr>
        <xdr:cNvPr id="20" name="Graphic 19" descr="Dollar with solid fill">
          <a:extLst>
            <a:ext uri="{FF2B5EF4-FFF2-40B4-BE49-F238E27FC236}">
              <a16:creationId xmlns:a16="http://schemas.microsoft.com/office/drawing/2014/main" id="{1134A08B-0660-41E8-BC3C-3C67D10020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621293" y="3368218"/>
          <a:ext cx="915354" cy="922839"/>
        </a:xfrm>
        <a:prstGeom prst="rect">
          <a:avLst/>
        </a:prstGeom>
      </xdr:spPr>
    </xdr:pic>
    <xdr:clientData/>
  </xdr:twoCellAnchor>
  <xdr:twoCellAnchor>
    <xdr:from>
      <xdr:col>8</xdr:col>
      <xdr:colOff>412743</xdr:colOff>
      <xdr:row>19</xdr:row>
      <xdr:rowOff>36890</xdr:rowOff>
    </xdr:from>
    <xdr:to>
      <xdr:col>12</xdr:col>
      <xdr:colOff>153940</xdr:colOff>
      <xdr:row>21</xdr:row>
      <xdr:rowOff>26593</xdr:rowOff>
    </xdr:to>
    <xdr:sp macro="" textlink="">
      <xdr:nvSpPr>
        <xdr:cNvPr id="27" name="TextBox 26">
          <a:extLst>
            <a:ext uri="{FF2B5EF4-FFF2-40B4-BE49-F238E27FC236}">
              <a16:creationId xmlns:a16="http://schemas.microsoft.com/office/drawing/2014/main" id="{0BA0414A-C391-4526-98CE-E379E29F1238}"/>
            </a:ext>
          </a:extLst>
        </xdr:cNvPr>
        <xdr:cNvSpPr txBox="1"/>
      </xdr:nvSpPr>
      <xdr:spPr>
        <a:xfrm>
          <a:off x="5769834" y="3400466"/>
          <a:ext cx="2419742" cy="343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TOTAL  REVENUE</a:t>
          </a:r>
        </a:p>
      </xdr:txBody>
    </xdr:sp>
    <xdr:clientData/>
  </xdr:twoCellAnchor>
  <xdr:twoCellAnchor>
    <xdr:from>
      <xdr:col>15</xdr:col>
      <xdr:colOff>134056</xdr:colOff>
      <xdr:row>19</xdr:row>
      <xdr:rowOff>30925</xdr:rowOff>
    </xdr:from>
    <xdr:to>
      <xdr:col>18</xdr:col>
      <xdr:colOff>31275</xdr:colOff>
      <xdr:row>21</xdr:row>
      <xdr:rowOff>10332</xdr:rowOff>
    </xdr:to>
    <xdr:sp macro="" textlink="">
      <xdr:nvSpPr>
        <xdr:cNvPr id="30" name="TextBox 29">
          <a:extLst>
            <a:ext uri="{FF2B5EF4-FFF2-40B4-BE49-F238E27FC236}">
              <a16:creationId xmlns:a16="http://schemas.microsoft.com/office/drawing/2014/main" id="{F8AF96E4-491E-4FCD-B4FC-049C0B45C94C}"/>
            </a:ext>
          </a:extLst>
        </xdr:cNvPr>
        <xdr:cNvSpPr txBox="1"/>
      </xdr:nvSpPr>
      <xdr:spPr>
        <a:xfrm>
          <a:off x="10178601" y="3394501"/>
          <a:ext cx="1906129" cy="333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ORDER</a:t>
          </a:r>
        </a:p>
      </xdr:txBody>
    </xdr:sp>
    <xdr:clientData/>
  </xdr:twoCellAnchor>
  <xdr:twoCellAnchor>
    <xdr:from>
      <xdr:col>20</xdr:col>
      <xdr:colOff>20052</xdr:colOff>
      <xdr:row>19</xdr:row>
      <xdr:rowOff>6866</xdr:rowOff>
    </xdr:from>
    <xdr:to>
      <xdr:col>25</xdr:col>
      <xdr:colOff>461209</xdr:colOff>
      <xdr:row>21</xdr:row>
      <xdr:rowOff>30079</xdr:rowOff>
    </xdr:to>
    <xdr:sp macro="" textlink="">
      <xdr:nvSpPr>
        <xdr:cNvPr id="31" name="TextBox 30">
          <a:extLst>
            <a:ext uri="{FF2B5EF4-FFF2-40B4-BE49-F238E27FC236}">
              <a16:creationId xmlns:a16="http://schemas.microsoft.com/office/drawing/2014/main" id="{5E550AF4-442D-4D2B-BA51-B493CD319FCE}"/>
            </a:ext>
          </a:extLst>
        </xdr:cNvPr>
        <xdr:cNvSpPr txBox="1"/>
      </xdr:nvSpPr>
      <xdr:spPr>
        <a:xfrm>
          <a:off x="13455315" y="3245366"/>
          <a:ext cx="3799973" cy="36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AVERAGE  ORDER  VALUE</a:t>
          </a:r>
        </a:p>
      </xdr:txBody>
    </xdr:sp>
    <xdr:clientData/>
  </xdr:twoCellAnchor>
  <xdr:twoCellAnchor>
    <xdr:from>
      <xdr:col>27</xdr:col>
      <xdr:colOff>319639</xdr:colOff>
      <xdr:row>19</xdr:row>
      <xdr:rowOff>6938</xdr:rowOff>
    </xdr:from>
    <xdr:to>
      <xdr:col>31</xdr:col>
      <xdr:colOff>116706</xdr:colOff>
      <xdr:row>20</xdr:row>
      <xdr:rowOff>121542</xdr:rowOff>
    </xdr:to>
    <xdr:sp macro="" textlink="">
      <xdr:nvSpPr>
        <xdr:cNvPr id="32" name="TextBox 31">
          <a:extLst>
            <a:ext uri="{FF2B5EF4-FFF2-40B4-BE49-F238E27FC236}">
              <a16:creationId xmlns:a16="http://schemas.microsoft.com/office/drawing/2014/main" id="{0195B866-C490-44C4-9140-7256C0917EC4}"/>
            </a:ext>
          </a:extLst>
        </xdr:cNvPr>
        <xdr:cNvSpPr txBox="1"/>
      </xdr:nvSpPr>
      <xdr:spPr>
        <a:xfrm>
          <a:off x="18417139" y="3358327"/>
          <a:ext cx="2478178" cy="29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CUSTOMERS</a:t>
          </a:r>
        </a:p>
      </xdr:txBody>
    </xdr:sp>
    <xdr:clientData/>
  </xdr:twoCellAnchor>
  <xdr:twoCellAnchor editAs="oneCell">
    <xdr:from>
      <xdr:col>13</xdr:col>
      <xdr:colOff>367973</xdr:colOff>
      <xdr:row>18</xdr:row>
      <xdr:rowOff>102034</xdr:rowOff>
    </xdr:from>
    <xdr:to>
      <xdr:col>14</xdr:col>
      <xdr:colOff>613049</xdr:colOff>
      <xdr:row>23</xdr:row>
      <xdr:rowOff>141164</xdr:rowOff>
    </xdr:to>
    <xdr:pic>
      <xdr:nvPicPr>
        <xdr:cNvPr id="34" name="Graphic 33" descr="Upward trend with solid fill">
          <a:extLst>
            <a:ext uri="{FF2B5EF4-FFF2-40B4-BE49-F238E27FC236}">
              <a16:creationId xmlns:a16="http://schemas.microsoft.com/office/drawing/2014/main" id="{80D95600-C85A-47FF-BDCC-D34CCEC2D4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81584" y="3277034"/>
          <a:ext cx="915354" cy="921074"/>
        </a:xfrm>
        <a:prstGeom prst="rect">
          <a:avLst/>
        </a:prstGeom>
      </xdr:spPr>
    </xdr:pic>
    <xdr:clientData/>
  </xdr:twoCellAnchor>
  <xdr:twoCellAnchor editAs="oneCell">
    <xdr:from>
      <xdr:col>18</xdr:col>
      <xdr:colOff>629721</xdr:colOff>
      <xdr:row>19</xdr:row>
      <xdr:rowOff>114232</xdr:rowOff>
    </xdr:from>
    <xdr:to>
      <xdr:col>20</xdr:col>
      <xdr:colOff>198281</xdr:colOff>
      <xdr:row>24</xdr:row>
      <xdr:rowOff>142888</xdr:rowOff>
    </xdr:to>
    <xdr:pic>
      <xdr:nvPicPr>
        <xdr:cNvPr id="36" name="Graphic 35" descr="Pie chart with solid fill">
          <a:extLst>
            <a:ext uri="{FF2B5EF4-FFF2-40B4-BE49-F238E27FC236}">
              <a16:creationId xmlns:a16="http://schemas.microsoft.com/office/drawing/2014/main" id="{95F5DE9B-3142-4D61-9E69-DCA8D680C41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721458" y="3352732"/>
          <a:ext cx="912086" cy="880893"/>
        </a:xfrm>
        <a:prstGeom prst="rect">
          <a:avLst/>
        </a:prstGeom>
      </xdr:spPr>
    </xdr:pic>
    <xdr:clientData/>
  </xdr:twoCellAnchor>
  <xdr:twoCellAnchor editAs="oneCell">
    <xdr:from>
      <xdr:col>25</xdr:col>
      <xdr:colOff>302033</xdr:colOff>
      <xdr:row>19</xdr:row>
      <xdr:rowOff>33784</xdr:rowOff>
    </xdr:from>
    <xdr:to>
      <xdr:col>26</xdr:col>
      <xdr:colOff>542356</xdr:colOff>
      <xdr:row>24</xdr:row>
      <xdr:rowOff>68954</xdr:rowOff>
    </xdr:to>
    <xdr:pic>
      <xdr:nvPicPr>
        <xdr:cNvPr id="38" name="Graphic 37" descr="Paperclip with solid fill">
          <a:extLst>
            <a:ext uri="{FF2B5EF4-FFF2-40B4-BE49-F238E27FC236}">
              <a16:creationId xmlns:a16="http://schemas.microsoft.com/office/drawing/2014/main" id="{71065EF0-A71A-4392-80CB-7FACFE78A76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058977" y="3385173"/>
          <a:ext cx="910601" cy="917114"/>
        </a:xfrm>
        <a:prstGeom prst="rect">
          <a:avLst/>
        </a:prstGeom>
      </xdr:spPr>
    </xdr:pic>
    <xdr:clientData/>
  </xdr:twoCellAnchor>
  <xdr:twoCellAnchor>
    <xdr:from>
      <xdr:col>9</xdr:col>
      <xdr:colOff>145390</xdr:colOff>
      <xdr:row>21</xdr:row>
      <xdr:rowOff>23323</xdr:rowOff>
    </xdr:from>
    <xdr:to>
      <xdr:col>11</xdr:col>
      <xdr:colOff>649111</xdr:colOff>
      <xdr:row>23</xdr:row>
      <xdr:rowOff>148167</xdr:rowOff>
    </xdr:to>
    <xdr:sp macro="" textlink="Pivot_Table!A11">
      <xdr:nvSpPr>
        <xdr:cNvPr id="42" name="TextBox 41">
          <a:extLst>
            <a:ext uri="{FF2B5EF4-FFF2-40B4-BE49-F238E27FC236}">
              <a16:creationId xmlns:a16="http://schemas.microsoft.com/office/drawing/2014/main" id="{1391F72C-BB3F-422F-806B-032F91524416}"/>
            </a:ext>
          </a:extLst>
        </xdr:cNvPr>
        <xdr:cNvSpPr txBox="1"/>
      </xdr:nvSpPr>
      <xdr:spPr>
        <a:xfrm>
          <a:off x="6177890" y="3727490"/>
          <a:ext cx="1844277" cy="477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2CA651-CA1E-483E-99B8-10D220322810}" type="TxLink">
            <a:rPr lang="en-US" sz="2400" b="1" i="0" u="none" strike="noStrike">
              <a:solidFill>
                <a:schemeClr val="tx2">
                  <a:lumMod val="60000"/>
                  <a:lumOff val="40000"/>
                </a:schemeClr>
              </a:solidFill>
              <a:latin typeface="Arial"/>
              <a:cs typeface="Arial"/>
            </a:rPr>
            <a:pPr/>
            <a:t>₹ 3,93,144</a:t>
          </a:fld>
          <a:endParaRPr lang="en-IN" sz="2400" b="1">
            <a:solidFill>
              <a:schemeClr val="tx2">
                <a:lumMod val="60000"/>
                <a:lumOff val="40000"/>
              </a:schemeClr>
            </a:solidFill>
          </a:endParaRPr>
        </a:p>
      </xdr:txBody>
    </xdr:sp>
    <xdr:clientData/>
  </xdr:twoCellAnchor>
  <xdr:twoCellAnchor>
    <xdr:from>
      <xdr:col>15</xdr:col>
      <xdr:colOff>492851</xdr:colOff>
      <xdr:row>21</xdr:row>
      <xdr:rowOff>59394</xdr:rowOff>
    </xdr:from>
    <xdr:to>
      <xdr:col>18</xdr:col>
      <xdr:colOff>492851</xdr:colOff>
      <xdr:row>23</xdr:row>
      <xdr:rowOff>33254</xdr:rowOff>
    </xdr:to>
    <xdr:sp macro="" textlink="Pivot_Table!A19">
      <xdr:nvSpPr>
        <xdr:cNvPr id="43" name="TextBox 42">
          <a:extLst>
            <a:ext uri="{FF2B5EF4-FFF2-40B4-BE49-F238E27FC236}">
              <a16:creationId xmlns:a16="http://schemas.microsoft.com/office/drawing/2014/main" id="{82EC87C5-82C3-4B28-89CE-5E4B8F5D5BC5}"/>
            </a:ext>
          </a:extLst>
        </xdr:cNvPr>
        <xdr:cNvSpPr txBox="1"/>
      </xdr:nvSpPr>
      <xdr:spPr>
        <a:xfrm>
          <a:off x="10537396" y="3777030"/>
          <a:ext cx="2008910" cy="32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CED564-DEFC-46D0-8256-04152AFB4C34}" type="TxLink">
            <a:rPr lang="en-US" sz="2400" b="1" i="0" u="none" strike="noStrike">
              <a:solidFill>
                <a:schemeClr val="tx2">
                  <a:lumMod val="60000"/>
                  <a:lumOff val="40000"/>
                </a:schemeClr>
              </a:solidFill>
              <a:latin typeface="Arial"/>
              <a:cs typeface="Arial"/>
            </a:rPr>
            <a:pPr algn="ctr"/>
            <a:t>257</a:t>
          </a:fld>
          <a:endParaRPr lang="en-IN" sz="2400" b="1">
            <a:solidFill>
              <a:schemeClr val="tx2">
                <a:lumMod val="60000"/>
                <a:lumOff val="40000"/>
              </a:schemeClr>
            </a:solidFill>
          </a:endParaRPr>
        </a:p>
      </xdr:txBody>
    </xdr:sp>
    <xdr:clientData/>
  </xdr:twoCellAnchor>
  <xdr:twoCellAnchor>
    <xdr:from>
      <xdr:col>21</xdr:col>
      <xdr:colOff>90148</xdr:colOff>
      <xdr:row>20</xdr:row>
      <xdr:rowOff>134316</xdr:rowOff>
    </xdr:from>
    <xdr:to>
      <xdr:col>24</xdr:col>
      <xdr:colOff>90147</xdr:colOff>
      <xdr:row>23</xdr:row>
      <xdr:rowOff>145381</xdr:rowOff>
    </xdr:to>
    <xdr:sp macro="" textlink="Pivot_Table!D44">
      <xdr:nvSpPr>
        <xdr:cNvPr id="44" name="TextBox 43">
          <a:extLst>
            <a:ext uri="{FF2B5EF4-FFF2-40B4-BE49-F238E27FC236}">
              <a16:creationId xmlns:a16="http://schemas.microsoft.com/office/drawing/2014/main" id="{10C996B0-51FD-464A-98C0-1BF90BC9E744}"/>
            </a:ext>
          </a:extLst>
        </xdr:cNvPr>
        <xdr:cNvSpPr txBox="1"/>
      </xdr:nvSpPr>
      <xdr:spPr>
        <a:xfrm>
          <a:off x="14091898" y="3626816"/>
          <a:ext cx="2000249" cy="53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A638A5-FAB3-4DCB-B80F-B071C0ED243E}" type="TxLink">
            <a:rPr lang="en-US" sz="2400" b="1" i="0" u="none" strike="noStrike">
              <a:solidFill>
                <a:schemeClr val="tx2">
                  <a:lumMod val="60000"/>
                  <a:lumOff val="40000"/>
                </a:schemeClr>
              </a:solidFill>
              <a:latin typeface="Arial"/>
              <a:cs typeface="Arial"/>
            </a:rPr>
            <a:t>₹ 3,931.44</a:t>
          </a:fld>
          <a:endParaRPr lang="en-US" sz="2400" b="1">
            <a:solidFill>
              <a:schemeClr val="tx2">
                <a:lumMod val="60000"/>
                <a:lumOff val="40000"/>
              </a:schemeClr>
            </a:solidFill>
          </a:endParaRPr>
        </a:p>
      </xdr:txBody>
    </xdr:sp>
    <xdr:clientData/>
  </xdr:twoCellAnchor>
  <xdr:twoCellAnchor>
    <xdr:from>
      <xdr:col>27</xdr:col>
      <xdr:colOff>457431</xdr:colOff>
      <xdr:row>21</xdr:row>
      <xdr:rowOff>5586</xdr:rowOff>
    </xdr:from>
    <xdr:to>
      <xdr:col>30</xdr:col>
      <xdr:colOff>457429</xdr:colOff>
      <xdr:row>24</xdr:row>
      <xdr:rowOff>70184</xdr:rowOff>
    </xdr:to>
    <xdr:sp macro="" textlink="Pivot_Table!A30">
      <xdr:nvSpPr>
        <xdr:cNvPr id="45" name="TextBox 44">
          <a:extLst>
            <a:ext uri="{FF2B5EF4-FFF2-40B4-BE49-F238E27FC236}">
              <a16:creationId xmlns:a16="http://schemas.microsoft.com/office/drawing/2014/main" id="{CE361712-3ADA-463A-A082-CDDFDD5CED8E}"/>
            </a:ext>
          </a:extLst>
        </xdr:cNvPr>
        <xdr:cNvSpPr txBox="1"/>
      </xdr:nvSpPr>
      <xdr:spPr>
        <a:xfrm>
          <a:off x="18595036" y="3584981"/>
          <a:ext cx="2015288" cy="57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9EE01F-2575-4D9C-A14A-129AFAA3A1BD}" type="TxLink">
            <a:rPr lang="en-US" sz="3200" b="1" i="0" u="none" strike="noStrike">
              <a:solidFill>
                <a:schemeClr val="tx2">
                  <a:lumMod val="60000"/>
                  <a:lumOff val="40000"/>
                </a:schemeClr>
              </a:solidFill>
              <a:latin typeface="Arial"/>
              <a:cs typeface="Arial"/>
            </a:rPr>
            <a:pPr algn="ctr"/>
            <a:t>20</a:t>
          </a:fld>
          <a:endParaRPr lang="en-IN" sz="3200" b="1">
            <a:solidFill>
              <a:schemeClr val="tx2">
                <a:lumMod val="60000"/>
                <a:lumOff val="40000"/>
              </a:schemeClr>
            </a:solidFill>
          </a:endParaRPr>
        </a:p>
      </xdr:txBody>
    </xdr:sp>
    <xdr:clientData/>
  </xdr:twoCellAnchor>
  <xdr:twoCellAnchor>
    <xdr:from>
      <xdr:col>6</xdr:col>
      <xdr:colOff>232368</xdr:colOff>
      <xdr:row>27</xdr:row>
      <xdr:rowOff>10162</xdr:rowOff>
    </xdr:from>
    <xdr:to>
      <xdr:col>17</xdr:col>
      <xdr:colOff>277307</xdr:colOff>
      <xdr:row>45</xdr:row>
      <xdr:rowOff>39495</xdr:rowOff>
    </xdr:to>
    <xdr:graphicFrame macro="">
      <xdr:nvGraphicFramePr>
        <xdr:cNvPr id="23" name="Chart 22">
          <a:extLst>
            <a:ext uri="{FF2B5EF4-FFF2-40B4-BE49-F238E27FC236}">
              <a16:creationId xmlns:a16="http://schemas.microsoft.com/office/drawing/2014/main" id="{3EEBC197-603A-4DF8-B32B-66EFAC576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599440</xdr:colOff>
      <xdr:row>26</xdr:row>
      <xdr:rowOff>142240</xdr:rowOff>
    </xdr:from>
    <xdr:to>
      <xdr:col>29</xdr:col>
      <xdr:colOff>71120</xdr:colOff>
      <xdr:row>44</xdr:row>
      <xdr:rowOff>132080</xdr:rowOff>
    </xdr:to>
    <xdr:graphicFrame macro="">
      <xdr:nvGraphicFramePr>
        <xdr:cNvPr id="24" name="Chart 23">
          <a:extLst>
            <a:ext uri="{FF2B5EF4-FFF2-40B4-BE49-F238E27FC236}">
              <a16:creationId xmlns:a16="http://schemas.microsoft.com/office/drawing/2014/main" id="{C878ABC9-F81B-4F72-9709-9F87AC2D2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168477</xdr:colOff>
      <xdr:row>26</xdr:row>
      <xdr:rowOff>140455</xdr:rowOff>
    </xdr:from>
    <xdr:to>
      <xdr:col>39</xdr:col>
      <xdr:colOff>564717</xdr:colOff>
      <xdr:row>44</xdr:row>
      <xdr:rowOff>130295</xdr:rowOff>
    </xdr:to>
    <xdr:graphicFrame macro="">
      <xdr:nvGraphicFramePr>
        <xdr:cNvPr id="25" name="Chart 24">
          <a:extLst>
            <a:ext uri="{FF2B5EF4-FFF2-40B4-BE49-F238E27FC236}">
              <a16:creationId xmlns:a16="http://schemas.microsoft.com/office/drawing/2014/main" id="{3A9189B0-8384-4B5B-BE96-46B680638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175844</xdr:colOff>
      <xdr:row>46</xdr:row>
      <xdr:rowOff>29308</xdr:rowOff>
    </xdr:from>
    <xdr:to>
      <xdr:col>17</xdr:col>
      <xdr:colOff>381000</xdr:colOff>
      <xdr:row>71</xdr:row>
      <xdr:rowOff>102577</xdr:rowOff>
    </xdr:to>
    <xdr:graphicFrame macro="">
      <xdr:nvGraphicFramePr>
        <xdr:cNvPr id="26" name="Chart 25">
          <a:extLst>
            <a:ext uri="{FF2B5EF4-FFF2-40B4-BE49-F238E27FC236}">
              <a16:creationId xmlns:a16="http://schemas.microsoft.com/office/drawing/2014/main" id="{FD065731-1290-4D6F-ADFC-F113B9FD8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600806</xdr:colOff>
      <xdr:row>46</xdr:row>
      <xdr:rowOff>29308</xdr:rowOff>
    </xdr:from>
    <xdr:to>
      <xdr:col>29</xdr:col>
      <xdr:colOff>29306</xdr:colOff>
      <xdr:row>71</xdr:row>
      <xdr:rowOff>131885</xdr:rowOff>
    </xdr:to>
    <xdr:graphicFrame macro="">
      <xdr:nvGraphicFramePr>
        <xdr:cNvPr id="28" name="Chart 27">
          <a:extLst>
            <a:ext uri="{FF2B5EF4-FFF2-40B4-BE49-F238E27FC236}">
              <a16:creationId xmlns:a16="http://schemas.microsoft.com/office/drawing/2014/main" id="{C1D88480-952C-43FD-804C-EEDBD1785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153377</xdr:colOff>
      <xdr:row>46</xdr:row>
      <xdr:rowOff>86360</xdr:rowOff>
    </xdr:from>
    <xdr:to>
      <xdr:col>39</xdr:col>
      <xdr:colOff>666262</xdr:colOff>
      <xdr:row>71</xdr:row>
      <xdr:rowOff>171938</xdr:rowOff>
    </xdr:to>
    <xdr:graphicFrame macro="">
      <xdr:nvGraphicFramePr>
        <xdr:cNvPr id="29" name="Chart 28">
          <a:extLst>
            <a:ext uri="{FF2B5EF4-FFF2-40B4-BE49-F238E27FC236}">
              <a16:creationId xmlns:a16="http://schemas.microsoft.com/office/drawing/2014/main" id="{55765552-DE31-4C00-AC68-BAFA47C85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533400</xdr:colOff>
      <xdr:row>32</xdr:row>
      <xdr:rowOff>11546</xdr:rowOff>
    </xdr:from>
    <xdr:to>
      <xdr:col>5</xdr:col>
      <xdr:colOff>557550</xdr:colOff>
      <xdr:row>40</xdr:row>
      <xdr:rowOff>138545</xdr:rowOff>
    </xdr:to>
    <mc:AlternateContent xmlns:mc="http://schemas.openxmlformats.org/markup-compatibility/2006">
      <mc:Choice xmlns:a14="http://schemas.microsoft.com/office/drawing/2010/main" Requires="a14">
        <xdr:graphicFrame macro="">
          <xdr:nvGraphicFramePr>
            <xdr:cNvPr id="33" name="Customer Segment 1">
              <a:extLst>
                <a:ext uri="{FF2B5EF4-FFF2-40B4-BE49-F238E27FC236}">
                  <a16:creationId xmlns:a16="http://schemas.microsoft.com/office/drawing/2014/main" id="{0B94ECE7-92EF-493B-8371-DC80A91E75CC}"/>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888067" y="5430213"/>
              <a:ext cx="2056150" cy="1481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581378</xdr:colOff>
      <xdr:row>55</xdr:row>
      <xdr:rowOff>22577</xdr:rowOff>
    </xdr:from>
    <xdr:to>
      <xdr:col>5</xdr:col>
      <xdr:colOff>564445</xdr:colOff>
      <xdr:row>69</xdr:row>
      <xdr:rowOff>95955</xdr:rowOff>
    </xdr:to>
    <mc:AlternateContent xmlns:mc="http://schemas.openxmlformats.org/markup-compatibility/2006">
      <mc:Choice xmlns:a14="http://schemas.microsoft.com/office/drawing/2010/main" Requires="a14">
        <xdr:graphicFrame macro="">
          <xdr:nvGraphicFramePr>
            <xdr:cNvPr id="35" name="Category 1">
              <a:extLst>
                <a:ext uri="{FF2B5EF4-FFF2-40B4-BE49-F238E27FC236}">
                  <a16:creationId xmlns:a16="http://schemas.microsoft.com/office/drawing/2014/main" id="{B2A5F69A-0C4C-4966-BACA-485C0758FF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36045" y="9335910"/>
              <a:ext cx="2015067" cy="2444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546100</xdr:colOff>
      <xdr:row>20</xdr:row>
      <xdr:rowOff>127000</xdr:rowOff>
    </xdr:from>
    <xdr:to>
      <xdr:col>5</xdr:col>
      <xdr:colOff>571500</xdr:colOff>
      <xdr:row>31</xdr:row>
      <xdr:rowOff>34638</xdr:rowOff>
    </xdr:to>
    <mc:AlternateContent xmlns:mc="http://schemas.openxmlformats.org/markup-compatibility/2006">
      <mc:Choice xmlns:a14="http://schemas.microsoft.com/office/drawing/2010/main" Requires="a14">
        <xdr:graphicFrame macro="">
          <xdr:nvGraphicFramePr>
            <xdr:cNvPr id="37" name="Order Status 2">
              <a:extLst>
                <a:ext uri="{FF2B5EF4-FFF2-40B4-BE49-F238E27FC236}">
                  <a16:creationId xmlns:a16="http://schemas.microsoft.com/office/drawing/2014/main" id="{98BB1814-0CAE-4B22-ACC3-A8941A3D99D1}"/>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dr:sp macro="" textlink="">
          <xdr:nvSpPr>
            <xdr:cNvPr id="0" name=""/>
            <xdr:cNvSpPr>
              <a:spLocks noTextEdit="1"/>
            </xdr:cNvSpPr>
          </xdr:nvSpPr>
          <xdr:spPr>
            <a:xfrm>
              <a:off x="1900767" y="3513667"/>
              <a:ext cx="2057400" cy="177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546100</xdr:colOff>
      <xdr:row>10</xdr:row>
      <xdr:rowOff>38100</xdr:rowOff>
    </xdr:from>
    <xdr:to>
      <xdr:col>5</xdr:col>
      <xdr:colOff>609600</xdr:colOff>
      <xdr:row>19</xdr:row>
      <xdr:rowOff>150090</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DF6CA857-9E99-4FCC-8F5A-837E6EB6C6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0767" y="1731433"/>
              <a:ext cx="2095500" cy="1635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547511</xdr:colOff>
      <xdr:row>41</xdr:row>
      <xdr:rowOff>138545</xdr:rowOff>
    </xdr:from>
    <xdr:to>
      <xdr:col>5</xdr:col>
      <xdr:colOff>549200</xdr:colOff>
      <xdr:row>54</xdr:row>
      <xdr:rowOff>92364</xdr:rowOff>
    </xdr:to>
    <mc:AlternateContent xmlns:mc="http://schemas.openxmlformats.org/markup-compatibility/2006">
      <mc:Choice xmlns:a14="http://schemas.microsoft.com/office/drawing/2010/main" Requires="a14">
        <xdr:graphicFrame macro="">
          <xdr:nvGraphicFramePr>
            <xdr:cNvPr id="40" name="Payment Method 2">
              <a:extLst>
                <a:ext uri="{FF2B5EF4-FFF2-40B4-BE49-F238E27FC236}">
                  <a16:creationId xmlns:a16="http://schemas.microsoft.com/office/drawing/2014/main" id="{21ABB4F9-13A8-45DB-B2DB-195DEEC56AC7}"/>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dr:sp macro="" textlink="">
          <xdr:nvSpPr>
            <xdr:cNvPr id="0" name=""/>
            <xdr:cNvSpPr>
              <a:spLocks noTextEdit="1"/>
            </xdr:cNvSpPr>
          </xdr:nvSpPr>
          <xdr:spPr>
            <a:xfrm>
              <a:off x="1902178" y="7081212"/>
              <a:ext cx="2033689" cy="2155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631658</xdr:colOff>
      <xdr:row>17</xdr:row>
      <xdr:rowOff>150395</xdr:rowOff>
    </xdr:from>
    <xdr:to>
      <xdr:col>39</xdr:col>
      <xdr:colOff>370973</xdr:colOff>
      <xdr:row>25</xdr:row>
      <xdr:rowOff>60158</xdr:rowOff>
    </xdr:to>
    <xdr:sp macro="" textlink="">
      <xdr:nvSpPr>
        <xdr:cNvPr id="11" name="Rectangle: Rounded Corners 10">
          <a:extLst>
            <a:ext uri="{FF2B5EF4-FFF2-40B4-BE49-F238E27FC236}">
              <a16:creationId xmlns:a16="http://schemas.microsoft.com/office/drawing/2014/main" id="{35556C20-2498-4ECA-B60A-121B8A407017}"/>
            </a:ext>
          </a:extLst>
        </xdr:cNvPr>
        <xdr:cNvSpPr/>
      </xdr:nvSpPr>
      <xdr:spPr>
        <a:xfrm>
          <a:off x="21456316" y="3048000"/>
          <a:ext cx="5163552" cy="127334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0</xdr:colOff>
      <xdr:row>21</xdr:row>
      <xdr:rowOff>158151</xdr:rowOff>
    </xdr:from>
    <xdr:to>
      <xdr:col>38</xdr:col>
      <xdr:colOff>416944</xdr:colOff>
      <xdr:row>24</xdr:row>
      <xdr:rowOff>57510</xdr:rowOff>
    </xdr:to>
    <xdr:sp macro="" textlink="Pivot_Table!A37">
      <xdr:nvSpPr>
        <xdr:cNvPr id="12" name="TextBox 11">
          <a:extLst>
            <a:ext uri="{FF2B5EF4-FFF2-40B4-BE49-F238E27FC236}">
              <a16:creationId xmlns:a16="http://schemas.microsoft.com/office/drawing/2014/main" id="{2840E73F-9625-47F9-858C-84934285C4DA}"/>
            </a:ext>
          </a:extLst>
        </xdr:cNvPr>
        <xdr:cNvSpPr txBox="1"/>
      </xdr:nvSpPr>
      <xdr:spPr>
        <a:xfrm>
          <a:off x="22299283" y="3781245"/>
          <a:ext cx="3838755" cy="416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9F6826-270F-4AA8-9A25-86C58DA0A1F7}" type="TxLink">
            <a:rPr lang="en-US" sz="2800" b="1" i="0" u="none" strike="noStrike">
              <a:solidFill>
                <a:schemeClr val="tx2">
                  <a:lumMod val="60000"/>
                  <a:lumOff val="40000"/>
                </a:schemeClr>
              </a:solidFill>
              <a:latin typeface="Arial"/>
              <a:cs typeface="Arial"/>
            </a:rPr>
            <a:pPr algn="ctr"/>
            <a:t>257</a:t>
          </a:fld>
          <a:endParaRPr lang="en-IN" sz="2800" b="1">
            <a:solidFill>
              <a:schemeClr val="tx2">
                <a:lumMod val="60000"/>
                <a:lumOff val="40000"/>
              </a:schemeClr>
            </a:solidFill>
          </a:endParaRPr>
        </a:p>
      </xdr:txBody>
    </xdr:sp>
    <xdr:clientData/>
  </xdr:twoCellAnchor>
  <xdr:twoCellAnchor>
    <xdr:from>
      <xdr:col>33</xdr:col>
      <xdr:colOff>100642</xdr:colOff>
      <xdr:row>19</xdr:row>
      <xdr:rowOff>86264</xdr:rowOff>
    </xdr:from>
    <xdr:to>
      <xdr:col>38</xdr:col>
      <xdr:colOff>503208</xdr:colOff>
      <xdr:row>21</xdr:row>
      <xdr:rowOff>115019</xdr:rowOff>
    </xdr:to>
    <xdr:sp macro="" textlink="">
      <xdr:nvSpPr>
        <xdr:cNvPr id="13" name="TextBox 12">
          <a:extLst>
            <a:ext uri="{FF2B5EF4-FFF2-40B4-BE49-F238E27FC236}">
              <a16:creationId xmlns:a16="http://schemas.microsoft.com/office/drawing/2014/main" id="{0F61D0FF-2FE1-4342-9C04-5562B7103816}"/>
            </a:ext>
          </a:extLst>
        </xdr:cNvPr>
        <xdr:cNvSpPr txBox="1"/>
      </xdr:nvSpPr>
      <xdr:spPr>
        <a:xfrm>
          <a:off x="22399925" y="3364302"/>
          <a:ext cx="3824377" cy="373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t>QUANTITY</a:t>
          </a:r>
          <a:r>
            <a:rPr lang="en-IN" sz="2000" b="1" baseline="0"/>
            <a:t>  SOLD</a:t>
          </a:r>
          <a:endParaRPr lang="en-IN" sz="2000" b="1"/>
        </a:p>
      </xdr:txBody>
    </xdr:sp>
    <xdr:clientData/>
  </xdr:twoCellAnchor>
  <xdr:twoCellAnchor editAs="oneCell">
    <xdr:from>
      <xdr:col>7</xdr:col>
      <xdr:colOff>302281</xdr:colOff>
      <xdr:row>8</xdr:row>
      <xdr:rowOff>75927</xdr:rowOff>
    </xdr:from>
    <xdr:to>
      <xdr:col>9</xdr:col>
      <xdr:colOff>412750</xdr:colOff>
      <xdr:row>16</xdr:row>
      <xdr:rowOff>50527</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CC6299A4-862A-469A-96C6-EA536C773C0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043614" y="1430594"/>
              <a:ext cx="1465136" cy="13292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584200</xdr:colOff>
      <xdr:row>8</xdr:row>
      <xdr:rowOff>69130</xdr:rowOff>
    </xdr:from>
    <xdr:to>
      <xdr:col>20</xdr:col>
      <xdr:colOff>542637</xdr:colOff>
      <xdr:row>16</xdr:row>
      <xdr:rowOff>43730</xdr:rowOff>
    </xdr:to>
    <mc:AlternateContent xmlns:mc="http://schemas.openxmlformats.org/markup-compatibility/2006">
      <mc:Choice xmlns:tsle="http://schemas.microsoft.com/office/drawing/2012/timeslicer" Requires="tsle">
        <xdr:graphicFrame macro="">
          <xdr:nvGraphicFramePr>
            <xdr:cNvPr id="41" name="Order Date 2">
              <a:extLst>
                <a:ext uri="{FF2B5EF4-FFF2-40B4-BE49-F238E27FC236}">
                  <a16:creationId xmlns:a16="http://schemas.microsoft.com/office/drawing/2014/main" id="{A029FAF2-AEFA-4680-A20A-E8DEA726AA23}"/>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9389533" y="1423797"/>
              <a:ext cx="4699771" cy="13292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158750</xdr:colOff>
      <xdr:row>8</xdr:row>
      <xdr:rowOff>66682</xdr:rowOff>
    </xdr:from>
    <xdr:to>
      <xdr:col>13</xdr:col>
      <xdr:colOff>246063</xdr:colOff>
      <xdr:row>16</xdr:row>
      <xdr:rowOff>41282</xdr:rowOff>
    </xdr:to>
    <mc:AlternateContent xmlns:mc="http://schemas.openxmlformats.org/markup-compatibility/2006">
      <mc:Choice xmlns:tsle="http://schemas.microsoft.com/office/drawing/2012/timeslicer" Requires="tsle">
        <xdr:graphicFrame macro="">
          <xdr:nvGraphicFramePr>
            <xdr:cNvPr id="46" name="Order Date 3">
              <a:extLst>
                <a:ext uri="{FF2B5EF4-FFF2-40B4-BE49-F238E27FC236}">
                  <a16:creationId xmlns:a16="http://schemas.microsoft.com/office/drawing/2014/main" id="{D111BF0D-42FE-4E06-A1BB-CCC7503D5A6A}"/>
                </a:ext>
              </a:extLst>
            </xdr:cNvPr>
            <xdr:cNvGraphicFramePr/>
          </xdr:nvGraphicFramePr>
          <xdr:xfrm>
            <a:off x="0" y="0"/>
            <a:ext cx="0" cy="0"/>
          </xdr:xfrm>
          <a:graphic>
            <a:graphicData uri="http://schemas.microsoft.com/office/drawing/2012/timeslicer">
              <tsle:timeslicer xmlns:tsle="http://schemas.microsoft.com/office/drawing/2012/timeslicer" name="Order Date 3"/>
            </a:graphicData>
          </a:graphic>
        </xdr:graphicFrame>
      </mc:Choice>
      <mc:Fallback>
        <xdr:sp macro="" textlink="">
          <xdr:nvSpPr>
            <xdr:cNvPr id="0" name=""/>
            <xdr:cNvSpPr>
              <a:spLocks noTextEdit="1"/>
            </xdr:cNvSpPr>
          </xdr:nvSpPr>
          <xdr:spPr>
            <a:xfrm>
              <a:off x="6932083" y="1421349"/>
              <a:ext cx="2119313" cy="13292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79375</xdr:colOff>
      <xdr:row>8</xdr:row>
      <xdr:rowOff>68364</xdr:rowOff>
    </xdr:from>
    <xdr:to>
      <xdr:col>39</xdr:col>
      <xdr:colOff>290946</xdr:colOff>
      <xdr:row>16</xdr:row>
      <xdr:rowOff>42964</xdr:rowOff>
    </xdr:to>
    <mc:AlternateContent xmlns:mc="http://schemas.openxmlformats.org/markup-compatibility/2006">
      <mc:Choice xmlns:tsle="http://schemas.microsoft.com/office/drawing/2012/timeslicer" Requires="tsle">
        <xdr:graphicFrame macro="">
          <xdr:nvGraphicFramePr>
            <xdr:cNvPr id="47" name="Order Date 4">
              <a:extLst>
                <a:ext uri="{FF2B5EF4-FFF2-40B4-BE49-F238E27FC236}">
                  <a16:creationId xmlns:a16="http://schemas.microsoft.com/office/drawing/2014/main" id="{97FE5164-8C88-47C3-86BA-22511F219C75}"/>
                </a:ext>
              </a:extLst>
            </xdr:cNvPr>
            <xdr:cNvGraphicFramePr/>
          </xdr:nvGraphicFramePr>
          <xdr:xfrm>
            <a:off x="0" y="0"/>
            <a:ext cx="0" cy="0"/>
          </xdr:xfrm>
          <a:graphic>
            <a:graphicData uri="http://schemas.microsoft.com/office/drawing/2012/timeslicer">
              <tsle:timeslicer xmlns:tsle="http://schemas.microsoft.com/office/drawing/2012/timeslicer" name="Order Date 4"/>
            </a:graphicData>
          </a:graphic>
        </xdr:graphicFrame>
      </mc:Choice>
      <mc:Fallback>
        <xdr:sp macro="" textlink="">
          <xdr:nvSpPr>
            <xdr:cNvPr id="0" name=""/>
            <xdr:cNvSpPr>
              <a:spLocks noTextEdit="1"/>
            </xdr:cNvSpPr>
          </xdr:nvSpPr>
          <xdr:spPr>
            <a:xfrm>
              <a:off x="14303375" y="1423031"/>
              <a:ext cx="12445904" cy="13292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171061</xdr:colOff>
      <xdr:row>20</xdr:row>
      <xdr:rowOff>31104</xdr:rowOff>
    </xdr:from>
    <xdr:to>
      <xdr:col>2</xdr:col>
      <xdr:colOff>217714</xdr:colOff>
      <xdr:row>27</xdr:row>
      <xdr:rowOff>44825</xdr:rowOff>
    </xdr:to>
    <xdr:sp macro="" textlink="">
      <xdr:nvSpPr>
        <xdr:cNvPr id="16" name="Rectangle: Rounded Corners 15">
          <a:extLst>
            <a:ext uri="{FF2B5EF4-FFF2-40B4-BE49-F238E27FC236}">
              <a16:creationId xmlns:a16="http://schemas.microsoft.com/office/drawing/2014/main" id="{54FEADA0-94A2-439A-B269-C7AEC6BBC86A}"/>
            </a:ext>
          </a:extLst>
        </xdr:cNvPr>
        <xdr:cNvSpPr/>
      </xdr:nvSpPr>
      <xdr:spPr>
        <a:xfrm>
          <a:off x="171061" y="3616986"/>
          <a:ext cx="1391359" cy="1268780"/>
        </a:xfrm>
        <a:prstGeom prst="roundRect">
          <a:avLst>
            <a:gd name="adj" fmla="val 2311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268941</xdr:colOff>
      <xdr:row>21</xdr:row>
      <xdr:rowOff>11206</xdr:rowOff>
    </xdr:from>
    <xdr:to>
      <xdr:col>2</xdr:col>
      <xdr:colOff>100854</xdr:colOff>
      <xdr:row>26</xdr:row>
      <xdr:rowOff>78441</xdr:rowOff>
    </xdr:to>
    <xdr:sp macro="" textlink="">
      <xdr:nvSpPr>
        <xdr:cNvPr id="17" name="TextBox 16">
          <a:hlinkClick xmlns:r="http://schemas.openxmlformats.org/officeDocument/2006/relationships" r:id="rId15"/>
          <a:extLst>
            <a:ext uri="{FF2B5EF4-FFF2-40B4-BE49-F238E27FC236}">
              <a16:creationId xmlns:a16="http://schemas.microsoft.com/office/drawing/2014/main" id="{31CA5481-26E7-4BEC-B53E-EAFF50FB7B70}"/>
            </a:ext>
          </a:extLst>
        </xdr:cNvPr>
        <xdr:cNvSpPr txBox="1"/>
      </xdr:nvSpPr>
      <xdr:spPr>
        <a:xfrm>
          <a:off x="268941" y="3776382"/>
          <a:ext cx="1176619" cy="963706"/>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 b="1">
              <a:solidFill>
                <a:schemeClr val="bg2">
                  <a:lumMod val="10000"/>
                </a:schemeClr>
              </a:solidFill>
            </a:rPr>
            <a:t>DASHBOARD</a:t>
          </a:r>
        </a:p>
      </xdr:txBody>
    </xdr:sp>
    <xdr:clientData/>
  </xdr:twoCellAnchor>
  <xdr:twoCellAnchor>
    <xdr:from>
      <xdr:col>0</xdr:col>
      <xdr:colOff>176646</xdr:colOff>
      <xdr:row>29</xdr:row>
      <xdr:rowOff>65807</xdr:rowOff>
    </xdr:from>
    <xdr:to>
      <xdr:col>2</xdr:col>
      <xdr:colOff>223299</xdr:colOff>
      <xdr:row>36</xdr:row>
      <xdr:rowOff>79529</xdr:rowOff>
    </xdr:to>
    <xdr:sp macro="" textlink="">
      <xdr:nvSpPr>
        <xdr:cNvPr id="48" name="Rectangle: Rounded Corners 47">
          <a:extLst>
            <a:ext uri="{FF2B5EF4-FFF2-40B4-BE49-F238E27FC236}">
              <a16:creationId xmlns:a16="http://schemas.microsoft.com/office/drawing/2014/main" id="{B5787990-215D-4DB7-9453-EAF8F1A808FD}"/>
            </a:ext>
          </a:extLst>
        </xdr:cNvPr>
        <xdr:cNvSpPr/>
      </xdr:nvSpPr>
      <xdr:spPr>
        <a:xfrm>
          <a:off x="176646" y="5288971"/>
          <a:ext cx="1376689" cy="1274485"/>
        </a:xfrm>
        <a:prstGeom prst="roundRect">
          <a:avLst>
            <a:gd name="adj" fmla="val 2311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135082</xdr:colOff>
      <xdr:row>39</xdr:row>
      <xdr:rowOff>24244</xdr:rowOff>
    </xdr:from>
    <xdr:to>
      <xdr:col>2</xdr:col>
      <xdr:colOff>181735</xdr:colOff>
      <xdr:row>46</xdr:row>
      <xdr:rowOff>37966</xdr:rowOff>
    </xdr:to>
    <xdr:sp macro="" textlink="">
      <xdr:nvSpPr>
        <xdr:cNvPr id="51" name="Rectangle: Rounded Corners 50">
          <a:extLst>
            <a:ext uri="{FF2B5EF4-FFF2-40B4-BE49-F238E27FC236}">
              <a16:creationId xmlns:a16="http://schemas.microsoft.com/office/drawing/2014/main" id="{40990979-9488-476A-B721-A22DC1618F9C}"/>
            </a:ext>
          </a:extLst>
        </xdr:cNvPr>
        <xdr:cNvSpPr/>
      </xdr:nvSpPr>
      <xdr:spPr>
        <a:xfrm>
          <a:off x="135082" y="7048499"/>
          <a:ext cx="1376689" cy="1274485"/>
        </a:xfrm>
        <a:prstGeom prst="roundRect">
          <a:avLst>
            <a:gd name="adj" fmla="val 2311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236113</xdr:colOff>
      <xdr:row>30</xdr:row>
      <xdr:rowOff>53662</xdr:rowOff>
    </xdr:from>
    <xdr:to>
      <xdr:col>2</xdr:col>
      <xdr:colOff>128789</xdr:colOff>
      <xdr:row>35</xdr:row>
      <xdr:rowOff>53662</xdr:rowOff>
    </xdr:to>
    <xdr:sp macro="" textlink="">
      <xdr:nvSpPr>
        <xdr:cNvPr id="18" name="TextBox 17">
          <a:hlinkClick xmlns:r="http://schemas.openxmlformats.org/officeDocument/2006/relationships" r:id="rId16"/>
          <a:extLst>
            <a:ext uri="{FF2B5EF4-FFF2-40B4-BE49-F238E27FC236}">
              <a16:creationId xmlns:a16="http://schemas.microsoft.com/office/drawing/2014/main" id="{661C0949-A1E3-4768-B98E-A460FFBA021E}"/>
            </a:ext>
          </a:extLst>
        </xdr:cNvPr>
        <xdr:cNvSpPr txBox="1"/>
      </xdr:nvSpPr>
      <xdr:spPr>
        <a:xfrm>
          <a:off x="236113" y="5205211"/>
          <a:ext cx="1223493" cy="858592"/>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10000"/>
                </a:schemeClr>
              </a:solidFill>
            </a:rPr>
            <a:t>SUMMARY</a:t>
          </a:r>
        </a:p>
      </xdr:txBody>
    </xdr:sp>
    <xdr:clientData/>
  </xdr:twoCellAnchor>
  <xdr:twoCellAnchor>
    <xdr:from>
      <xdr:col>0</xdr:col>
      <xdr:colOff>257577</xdr:colOff>
      <xdr:row>40</xdr:row>
      <xdr:rowOff>42930</xdr:rowOff>
    </xdr:from>
    <xdr:to>
      <xdr:col>2</xdr:col>
      <xdr:colOff>53662</xdr:colOff>
      <xdr:row>45</xdr:row>
      <xdr:rowOff>96591</xdr:rowOff>
    </xdr:to>
    <xdr:sp macro="" textlink="">
      <xdr:nvSpPr>
        <xdr:cNvPr id="19" name="TextBox 18">
          <a:hlinkClick xmlns:r="http://schemas.openxmlformats.org/officeDocument/2006/relationships" r:id="rId17"/>
          <a:extLst>
            <a:ext uri="{FF2B5EF4-FFF2-40B4-BE49-F238E27FC236}">
              <a16:creationId xmlns:a16="http://schemas.microsoft.com/office/drawing/2014/main" id="{546124E2-7D78-47C8-8D7F-6400040F20AF}"/>
            </a:ext>
          </a:extLst>
        </xdr:cNvPr>
        <xdr:cNvSpPr txBox="1"/>
      </xdr:nvSpPr>
      <xdr:spPr>
        <a:xfrm>
          <a:off x="257577" y="6911662"/>
          <a:ext cx="1126902" cy="912253"/>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2">
                  <a:lumMod val="10000"/>
                </a:schemeClr>
              </a:solidFill>
            </a:rPr>
            <a:t>DATA</a:t>
          </a:r>
        </a:p>
      </xdr:txBody>
    </xdr:sp>
    <xdr:clientData/>
  </xdr:twoCellAnchor>
  <xdr:twoCellAnchor editAs="oneCell">
    <xdr:from>
      <xdr:col>0</xdr:col>
      <xdr:colOff>75126</xdr:colOff>
      <xdr:row>0</xdr:row>
      <xdr:rowOff>27367</xdr:rowOff>
    </xdr:from>
    <xdr:to>
      <xdr:col>4</xdr:col>
      <xdr:colOff>146452</xdr:colOff>
      <xdr:row>6</xdr:row>
      <xdr:rowOff>96592</xdr:rowOff>
    </xdr:to>
    <xdr:pic>
      <xdr:nvPicPr>
        <xdr:cNvPr id="21" name="Picture 20">
          <a:extLst>
            <a:ext uri="{FF2B5EF4-FFF2-40B4-BE49-F238E27FC236}">
              <a16:creationId xmlns:a16="http://schemas.microsoft.com/office/drawing/2014/main" id="{B4DE5C22-0928-42EF-8863-3917298C75F2}"/>
            </a:ext>
          </a:extLst>
        </xdr:cNvPr>
        <xdr:cNvPicPr>
          <a:picLocks noChangeAspect="1"/>
        </xdr:cNvPicPr>
      </xdr:nvPicPr>
      <xdr:blipFill>
        <a:blip xmlns:r="http://schemas.openxmlformats.org/officeDocument/2006/relationships" r:embed="rId18"/>
        <a:stretch>
          <a:fillRect/>
        </a:stretch>
      </xdr:blipFill>
      <xdr:spPr>
        <a:xfrm>
          <a:off x="75126" y="27367"/>
          <a:ext cx="2732960" cy="10995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NA SANTRA" refreshedDate="46262.945981712961" createdVersion="7" refreshedVersion="7" minRefreshableVersion="3" recordCount="100" xr:uid="{EA955CF7-9ABD-4FBC-A2F0-0433D6173CE4}">
  <cacheSource type="worksheet">
    <worksheetSource name="SalesData"/>
  </cacheSource>
  <cacheFields count="23">
    <cacheField name="Order ID" numFmtId="0">
      <sharedItems count="1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haredItems>
    </cacheField>
    <cacheField name="Order Date" numFmtId="164">
      <sharedItems containsSemiMixedTypes="0" containsNonDate="0" containsDate="1" containsString="0" minDate="2026-01-04T00:00:00" maxDate="2026-08-21T00:00:00" count="78">
        <d v="2026-02-27T00:00:00"/>
        <d v="2026-02-20T00:00:00"/>
        <d v="2026-03-13T00:00:00"/>
        <d v="2026-05-18T00:00:00"/>
        <d v="2026-06-19T00:00:00"/>
        <d v="2026-02-23T00:00:00"/>
        <d v="2026-08-04T00:00:00"/>
        <d v="2026-06-17T00:00:00"/>
        <d v="2026-04-13T00:00:00"/>
        <d v="2026-04-08T00:00:00"/>
        <d v="2026-03-17T00:00:00"/>
        <d v="2026-06-05T00:00:00"/>
        <d v="2026-08-13T00:00:00"/>
        <d v="2026-06-18T00:00:00"/>
        <d v="2026-05-22T00:00:00"/>
        <d v="2026-03-02T00:00:00"/>
        <d v="2026-01-25T00:00:00"/>
        <d v="2026-07-24T00:00:00"/>
        <d v="2026-08-12T00:00:00"/>
        <d v="2026-05-04T00:00:00"/>
        <d v="2026-01-13T00:00:00"/>
        <d v="2026-01-31T00:00:00"/>
        <d v="2026-02-22T00:00:00"/>
        <d v="2026-04-28T00:00:00"/>
        <d v="2026-04-05T00:00:00"/>
        <d v="2026-03-09T00:00:00"/>
        <d v="2026-05-06T00:00:00"/>
        <d v="2026-07-09T00:00:00"/>
        <d v="2026-02-02T00:00:00"/>
        <d v="2026-07-11T00:00:00"/>
        <d v="2026-02-10T00:00:00"/>
        <d v="2026-01-07T00:00:00"/>
        <d v="2026-01-30T00:00:00"/>
        <d v="2026-04-21T00:00:00"/>
        <d v="2026-03-15T00:00:00"/>
        <d v="2026-03-14T00:00:00"/>
        <d v="2026-05-02T00:00:00"/>
        <d v="2026-02-04T00:00:00"/>
        <d v="2026-07-10T00:00:00"/>
        <d v="2026-07-02T00:00:00"/>
        <d v="2026-01-17T00:00:00"/>
        <d v="2026-03-11T00:00:00"/>
        <d v="2026-06-01T00:00:00"/>
        <d v="2026-02-24T00:00:00"/>
        <d v="2026-05-25T00:00:00"/>
        <d v="2026-05-29T00:00:00"/>
        <d v="2026-07-26T00:00:00"/>
        <d v="2026-08-06T00:00:00"/>
        <d v="2026-03-04T00:00:00"/>
        <d v="2026-03-29T00:00:00"/>
        <d v="2026-05-23T00:00:00"/>
        <d v="2026-03-01T00:00:00"/>
        <d v="2026-07-05T00:00:00"/>
        <d v="2026-04-23T00:00:00"/>
        <d v="2026-02-08T00:00:00"/>
        <d v="2026-06-10T00:00:00"/>
        <d v="2026-05-01T00:00:00"/>
        <d v="2026-02-01T00:00:00"/>
        <d v="2026-07-08T00:00:00"/>
        <d v="2026-03-27T00:00:00"/>
        <d v="2026-03-22T00:00:00"/>
        <d v="2026-07-13T00:00:00"/>
        <d v="2026-01-08T00:00:00"/>
        <d v="2026-08-02T00:00:00"/>
        <d v="2026-03-12T00:00:00"/>
        <d v="2026-04-25T00:00:00"/>
        <d v="2026-04-09T00:00:00"/>
        <d v="2026-01-10T00:00:00"/>
        <d v="2026-08-11T00:00:00"/>
        <d v="2026-01-26T00:00:00"/>
        <d v="2026-04-06T00:00:00"/>
        <d v="2026-06-24T00:00:00"/>
        <d v="2026-08-20T00:00:00"/>
        <d v="2026-01-04T00:00:00"/>
        <d v="2026-02-05T00:00:00"/>
        <d v="2026-06-21T00:00:00"/>
        <d v="2026-01-09T00:00:00"/>
        <d v="2026-04-12T00:00:00"/>
      </sharedItems>
      <fieldGroup par="22" base="1">
        <rangePr groupBy="months" startDate="2026-01-04T00:00:00" endDate="2026-08-21T00:00:00"/>
        <groupItems count="14">
          <s v="&lt;04-01-2026"/>
          <s v="Jan"/>
          <s v="Feb"/>
          <s v="Mar"/>
          <s v="Apr"/>
          <s v="May"/>
          <s v="Jun"/>
          <s v="Jul"/>
          <s v="Aug"/>
          <s v="Sep"/>
          <s v="Oct"/>
          <s v="Nov"/>
          <s v="Dec"/>
          <s v="&gt;21-08-2026"/>
        </groupItems>
      </fieldGroup>
    </cacheField>
    <cacheField name="Customer ID" numFmtId="0">
      <sharedItems/>
    </cacheField>
    <cacheField name="Customer Name" numFmtId="0">
      <sharedItems/>
    </cacheField>
    <cacheField name="Gender" numFmtId="0">
      <sharedItems/>
    </cacheField>
    <cacheField name="Age" numFmtId="0">
      <sharedItems containsSemiMixedTypes="0" containsString="0" containsNumber="1" containsInteger="1" minValue="21" maxValue="45"/>
    </cacheField>
    <cacheField name="City" numFmtId="0">
      <sharedItems count="10">
        <s v="Kolkata"/>
        <s v="Pune"/>
        <s v="Mumbai"/>
        <s v="Jaipur"/>
        <s v="Bengaluru"/>
        <s v="Chennai"/>
        <s v="Ahmedabad"/>
        <s v="Delhi"/>
        <s v="Hyderabad"/>
        <s v="Howrah"/>
      </sharedItems>
    </cacheField>
    <cacheField name="State" numFmtId="0">
      <sharedItems/>
    </cacheField>
    <cacheField name="Region" numFmtId="0">
      <sharedItems count="4">
        <s v="East"/>
        <s v="West"/>
        <s v="North"/>
        <s v="South"/>
      </sharedItems>
    </cacheField>
    <cacheField name="Product" numFmtId="0">
      <sharedItems count="12">
        <s v="Yoga Mat"/>
        <s v="Laptop Backpack"/>
        <s v="Running Shoes"/>
        <s v="Smart Watch"/>
        <s v="Coffee Maker"/>
        <s v="Water Bottle"/>
        <s v="Bluetooth Speaker"/>
        <s v="Wireless Headphones"/>
        <s v="Cotton T-Shirt"/>
        <s v="Skincare Kit"/>
        <s v="Face Wash"/>
        <s v="Denim Jeans"/>
      </sharedItems>
    </cacheField>
    <cacheField name="Category" numFmtId="0">
      <sharedItems count="6">
        <s v="Sports"/>
        <s v="Accessories"/>
        <s v="Fashion"/>
        <s v="Electronics"/>
        <s v="Home &amp; Kitchen"/>
        <s v="Beauty"/>
      </sharedItems>
    </cacheField>
    <cacheField name="Quantity" numFmtId="0">
      <sharedItems containsSemiMixedTypes="0" containsString="0" containsNumber="1" containsInteger="1" minValue="1" maxValue="4"/>
    </cacheField>
    <cacheField name="Unit Price" numFmtId="165">
      <sharedItems containsSemiMixedTypes="0" containsString="0" containsNumber="1" containsInteger="1" minValue="399" maxValue="3299"/>
    </cacheField>
    <cacheField name="Discount" numFmtId="10">
      <sharedItems containsSemiMixedTypes="0" containsString="0" containsNumber="1" minValue="0" maxValue="0.2"/>
    </cacheField>
    <cacheField name="Shipping Cost" numFmtId="165">
      <sharedItems containsSemiMixedTypes="0" containsString="0" containsNumber="1" containsInteger="1" minValue="40" maxValue="120"/>
    </cacheField>
    <cacheField name="Payment Method" numFmtId="0">
      <sharedItems count="5">
        <s v="UPI"/>
        <s v="Net Banking"/>
        <s v="Debit Card"/>
        <s v="Cash on Delivery"/>
        <s v="Credit Card"/>
      </sharedItems>
    </cacheField>
    <cacheField name="Order Status" numFmtId="0">
      <sharedItems count="4">
        <s v="Delivered"/>
        <s v="Pending"/>
        <s v="Returned"/>
        <s v="Cancelled"/>
      </sharedItems>
    </cacheField>
    <cacheField name="Rating" numFmtId="0">
      <sharedItems containsSemiMixedTypes="0" containsString="0" containsNumber="1" minValue="3" maxValue="5"/>
    </cacheField>
    <cacheField name="Customer Segment" numFmtId="0">
      <sharedItems count="3">
        <s v="New Customer"/>
        <s v="Regular Customer"/>
        <s v="Loyal Customer"/>
      </sharedItems>
    </cacheField>
    <cacheField name="Gross Sales" numFmtId="165">
      <sharedItems containsSemiMixedTypes="0" containsString="0" containsNumber="1" containsInteger="1" minValue="599" maxValue="13196"/>
    </cacheField>
    <cacheField name="Discount Amount" numFmtId="165">
      <sharedItems containsSemiMixedTypes="0" containsString="0" containsNumber="1" minValue="0" maxValue="2319.1999999999998"/>
    </cacheField>
    <cacheField name="Net Revenue" numFmtId="165">
      <sharedItems containsSemiMixedTypes="0" containsString="0" containsNumber="1" minValue="609.20000000000005" maxValue="13256" count="97">
        <n v="2642.15"/>
        <n v="1119.2"/>
        <n v="3316.4"/>
        <n v="1929.15"/>
        <n v="939"/>
        <n v="9027.2999999999993"/>
        <n v="4018.2"/>
        <n v="8312.15"/>
        <n v="7076.8"/>
        <n v="2504.15"/>
        <n v="1917"/>
        <n v="4417.6000000000004"/>
        <n v="2299.1"/>
        <n v="3518.1"/>
        <n v="1698.2"/>
        <n v="679.2"/>
        <n v="609.20000000000005"/>
        <n v="3876.2"/>
        <n v="9096.4"/>
        <n v="8476.2000000000007"/>
        <n v="11296.6"/>
        <n v="7086.8"/>
        <n v="2797"/>
        <n v="3158.3"/>
        <n v="1697.3"/>
        <n v="799"/>
        <n v="784.05"/>
        <n v="629.04999999999995"/>
        <n v="1517.6"/>
        <n v="9442.15"/>
        <n v="4978.3"/>
        <n v="1326.8"/>
        <n v="2958.2"/>
        <n v="4218.1000000000004"/>
        <n v="1857"/>
        <n v="1832.45"/>
        <n v="758.2"/>
        <n v="2636.4"/>
        <n v="1519.1"/>
        <n v="2048"/>
        <n v="2494.0500000000002"/>
        <n v="3088.1"/>
        <n v="1184.1500000000001"/>
        <n v="1566.2"/>
        <n v="8896"/>
        <n v="3078.1"/>
        <n v="799.2"/>
        <n v="5056.2"/>
        <n v="2884.15"/>
        <n v="7996.4"/>
        <n v="859.1"/>
        <n v="13256"/>
        <n v="10017"/>
        <n v="1257"/>
        <n v="8037.6"/>
        <n v="4627.45"/>
        <n v="3547.3"/>
        <n v="3096.6"/>
        <n v="1738.2"/>
        <n v="6057.3"/>
        <n v="4726.3999999999996"/>
        <n v="1809.2"/>
        <n v="7516.6"/>
        <n v="2794.05"/>
        <n v="4718.3999999999996"/>
        <n v="2804.05"/>
        <n v="5176.8"/>
        <n v="1058.3"/>
        <n v="2392.4499999999998"/>
        <n v="2514.15"/>
        <n v="2854.05"/>
        <n v="2627.45"/>
        <n v="10036"/>
        <n v="3177.6"/>
        <n v="3646"/>
        <n v="1569.05"/>
        <n v="898"/>
        <n v="11116.2"/>
        <n v="1558.4"/>
        <n v="1098.3"/>
        <n v="1588.3"/>
        <n v="2556.4"/>
        <n v="884.15"/>
        <n v="6867.3"/>
        <n v="9356.7999999999993"/>
        <n v="2477.6"/>
        <n v="6456"/>
        <n v="2059.1999999999998"/>
        <n v="4478"/>
        <n v="4957.3"/>
        <n v="8452.4500000000007"/>
        <n v="714.15"/>
        <n v="3108.3"/>
        <n v="2436"/>
        <n v="5876.4"/>
        <n v="10486.4"/>
        <n v="7222.15"/>
      </sharedItems>
    </cacheField>
    <cacheField name="Years" numFmtId="0" databaseField="0">
      <fieldGroup base="1">
        <rangePr groupBy="years" startDate="2026-01-04T00:00:00" endDate="2026-08-21T00:00:00"/>
        <groupItems count="3">
          <s v="&lt;04-01-2026"/>
          <s v="2026"/>
          <s v="&gt;21-08-2026"/>
        </groupItems>
      </fieldGroup>
    </cacheField>
  </cacheFields>
  <extLst>
    <ext xmlns:x14="http://schemas.microsoft.com/office/spreadsheetml/2009/9/main" uri="{725AE2AE-9491-48be-B2B4-4EB974FC3084}">
      <x14:pivotCacheDefinition pivotCacheId="20433080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A SANTRA" refreshedDate="46274.068692592591" backgroundQuery="1" createdVersion="3" refreshedVersion="7" minRefreshableVersion="3" recordCount="0" supportSubquery="1" supportAdvancedDrill="1" xr:uid="{1660FD94-CDDC-4C16-830C-428E0D460984}">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Measures]" caption="Measures" attribute="1" keyAttribute="1" defaultMemberUniqueName="[Measures].[__No measures defined]" dimensionUniqueName="[Measures]" displayFolder="" measures="1" count="1"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Gender]" caption="Gender" attribute="1" defaultMemberUniqueName="[Orders].[Gender].[All]" allUniqueName="[Orders].[Gender].[All]" dimensionUniqueName="[Orders]" displayFolder="" count="2" memberValueDatatype="130" unbalanced="0"/>
    <cacheHierarchy uniqueName="[Orders].[Age]" caption="Age" attribute="1" defaultMemberUniqueName="[Orders].[Age].[All]" allUniqueName="[Orders].[Age].[All]" dimensionUniqueName="[Orders]" displayFolder="" count="2" memberValueDatatype="2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caption="Product" attribute="1" defaultMemberUniqueName="[Orders].[Product].[All]" allUniqueName="[Orders].[Product].[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 Price]" caption="Unit Price" attribute="1" defaultMemberUniqueName="[Orders].[Unit Price].[All]" allUniqueName="[Orders].[Unit Price].[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Payment Method]" caption="Payment Method" attribute="1" defaultMemberUniqueName="[Orders].[Payment Method].[All]" allUniqueName="[Orders].[Payment Method].[All]" dimensionUniqueName="[Orders]" displayFolder="" count="2" memberValueDatatype="130" unbalanced="0"/>
    <cacheHierarchy uniqueName="[Orders].[Order Status]" caption="Order Status" attribute="1" defaultMemberUniqueName="[Orders].[Order Status].[All]" allUniqueName="[Orders].[Order Status].[All]" dimensionUniqueName="[Orders]" displayFolder="" count="2" memberValueDatatype="130" unbalanced="0"/>
    <cacheHierarchy uniqueName="[Orders].[Rating]" caption="Rating" attribute="1" defaultMemberUniqueName="[Orders].[Rating].[All]" allUniqueName="[Orders].[Rating].[All]" dimensionUniqueName="[Orders]" displayFolder="" count="2" memberValueDatatype="5"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Gross Sales]" caption="Gross Sales" attribute="1" defaultMemberUniqueName="[Orders].[Gross Sales].[All]" allUniqueName="[Orders].[Gross Sales].[All]" dimensionUniqueName="[Orders]" displayFolder="" count="2" memberValueDatatype="20" unbalanced="0"/>
    <cacheHierarchy uniqueName="[Orders].[Discount Amount]" caption="Discount Amount" attribute="1" defaultMemberUniqueName="[Orders].[Discount Amount].[All]" allUniqueName="[Orders].[Discount Amount].[All]" dimensionUniqueName="[Orders]" displayFolder="" count="2" memberValueDatatype="5" unbalanced="0"/>
    <cacheHierarchy uniqueName="[Orders].[Net Revenue]" caption="Net Revenue" attribute="1" defaultMemberUniqueName="[Orders].[Net Revenue].[All]" allUniqueName="[Orders].[Net Revenue].[All]" dimensionUniqueName="[Orders]" displayFolder="" count="2" memberValueDatatype="5" unbalanced="0"/>
    <cacheHierarchy uniqueName="[Table2].[Order ID]" caption="Order ID" attribute="1" defaultMemberUniqueName="[Table2].[Order ID].[All]" allUniqueName="[Table2].[Order ID].[All]" dimensionUniqueName="[Table2]" displayFolder="" count="2"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Customer ID]" caption="Customer ID" attribute="1" defaultMemberUniqueName="[Table2].[Customer ID].[All]" allUniqueName="[Table2].[Customer 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Product]" caption="Product" attribute="1" defaultMemberUniqueName="[Table2].[Product].[All]" allUniqueName="[Table2].[Produc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Quantity]" caption="Quantity" attribute="1" defaultMemberUniqueName="[Table2].[Quantity].[All]" allUniqueName="[Table2].[Quantity].[All]" dimensionUniqueName="[Table2]" displayFolder="" count="2" memberValueDatatype="20" unbalanced="0"/>
    <cacheHierarchy uniqueName="[Table2].[Unit Price]" caption="Unit Price" attribute="1" defaultMemberUniqueName="[Table2].[Unit Price].[All]" allUniqueName="[Table2].[Unit Price].[All]" dimensionUniqueName="[Table2]" displayFolder="" count="2" memberValueDatatype="20" unbalanced="0"/>
    <cacheHierarchy uniqueName="[Table2].[Discount]" caption="Discount" attribute="1" defaultMemberUniqueName="[Table2].[Discount].[All]" allUniqueName="[Table2].[Discount].[All]" dimensionUniqueName="[Table2]" displayFolder="" count="2" memberValueDatatype="5" unbalanced="0"/>
    <cacheHierarchy uniqueName="[Table2].[Shipping Cost]" caption="Shipping Cost" attribute="1" defaultMemberUniqueName="[Table2].[Shipping Cost].[All]" allUniqueName="[Table2].[Shipping Cost].[All]" dimensionUniqueName="[Table2]" displayFolder="" count="2" memberValueDatatype="20"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Order Status]" caption="Order Status" attribute="1" defaultMemberUniqueName="[Table2].[Order Status].[All]" allUniqueName="[Table2].[Order Status].[All]" dimensionUniqueName="[Table2]" displayFolder="" count="2" memberValueDatatype="130" unbalanced="0"/>
    <cacheHierarchy uniqueName="[Table2].[Rating]" caption="Rating" attribute="1" defaultMemberUniqueName="[Table2].[Rating].[All]" allUniqueName="[Table2].[Rating].[All]" dimensionUniqueName="[Table2]" displayFolder="" count="2" memberValueDatatype="5" unbalanced="0"/>
    <cacheHierarchy uniqueName="[Table2].[Customer Segment]" caption="Customer Segment" attribute="1" defaultMemberUniqueName="[Table2].[Customer Segment].[All]" allUniqueName="[Table2].[Customer Segment].[All]" dimensionUniqueName="[Table2]" displayFolder="" count="2" memberValueDatatype="130" unbalanced="0"/>
    <cacheHierarchy uniqueName="[Table2].[Gross Sales]" caption="Gross Sales" attribute="1" defaultMemberUniqueName="[Table2].[Gross Sales].[All]" allUniqueName="[Table2].[Gross Sales].[All]" dimensionUniqueName="[Table2]" displayFolder="" count="2" memberValueDatatype="20" unbalanced="0"/>
    <cacheHierarchy uniqueName="[Table2].[Discount Amount]" caption="Discount Amount" attribute="1" defaultMemberUniqueName="[Table2].[Discount Amount].[All]" allUniqueName="[Table2].[Discount Amount].[All]" dimensionUniqueName="[Table2]" displayFolder="" count="2" memberValueDatatype="5" unbalanced="0"/>
    <cacheHierarchy uniqueName="[Table2].[Net Revenue]" caption="Net Revenue" attribute="1" defaultMemberUniqueName="[Table2].[Net Revenue].[All]" allUniqueName="[Table2].[Net Revenue].[All]" dimensionUniqueName="[Table2]" displayFolder="" count="2" memberValueDatatype="5" unbalanced="0"/>
    <cacheHierarchy uniqueName="[Measures].[__XL_Count Orders]" caption="__XL_Count Orders" measure="1" displayFolder="" measureGroup="Order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Table2" uniqueName="[Table2]" caption="Table2"/>
  </dimensions>
  <measureGroups count="2">
    <measureGroup name="Orders" caption="Orders"/>
    <measureGroup name="Table2" caption="Table2"/>
  </measureGroups>
  <maps count="2">
    <map measureGroup="0" dimension="1"/>
    <map measureGroup="1" dimension="2"/>
  </maps>
  <extLst>
    <ext xmlns:x14="http://schemas.microsoft.com/office/spreadsheetml/2009/9/main" uri="{725AE2AE-9491-48be-B2B4-4EB974FC3084}">
      <x14:pivotCacheDefinition pivotCacheId="13480834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004"/>
    <s v="Sneha Sen"/>
    <s v="Male"/>
    <n v="38"/>
    <x v="0"/>
    <s v="West Bengal"/>
    <x v="0"/>
    <x v="0"/>
    <x v="0"/>
    <n v="3"/>
    <n v="899"/>
    <n v="0.05"/>
    <n v="80"/>
    <x v="0"/>
    <x v="0"/>
    <n v="3"/>
    <x v="0"/>
    <n v="2697"/>
    <n v="134.85"/>
    <x v="0"/>
  </r>
  <r>
    <x v="1"/>
    <x v="1"/>
    <s v="C003"/>
    <s v="Rahul Roy"/>
    <s v="Female"/>
    <n v="27"/>
    <x v="1"/>
    <s v="Maharashtra"/>
    <x v="1"/>
    <x v="1"/>
    <x v="1"/>
    <n v="1"/>
    <n v="1299"/>
    <n v="0.2"/>
    <n v="80"/>
    <x v="1"/>
    <x v="0"/>
    <n v="5"/>
    <x v="1"/>
    <n v="1299"/>
    <n v="259.8"/>
    <x v="1"/>
  </r>
  <r>
    <x v="2"/>
    <x v="2"/>
    <s v="C001"/>
    <s v="Aarav Sharma"/>
    <s v="Male"/>
    <n v="22"/>
    <x v="2"/>
    <s v="Maharashtra"/>
    <x v="1"/>
    <x v="0"/>
    <x v="0"/>
    <n v="4"/>
    <n v="899"/>
    <n v="0.1"/>
    <n v="80"/>
    <x v="2"/>
    <x v="0"/>
    <n v="3"/>
    <x v="1"/>
    <n v="3596"/>
    <n v="359.6"/>
    <x v="2"/>
  </r>
  <r>
    <x v="3"/>
    <x v="3"/>
    <s v="C012"/>
    <s v="Riya Mukherjee"/>
    <s v="Male"/>
    <n v="37"/>
    <x v="3"/>
    <s v="Rajasthan"/>
    <x v="2"/>
    <x v="2"/>
    <x v="2"/>
    <n v="1"/>
    <n v="2199"/>
    <n v="0.15"/>
    <n v="60"/>
    <x v="3"/>
    <x v="0"/>
    <n v="5"/>
    <x v="1"/>
    <n v="2199"/>
    <n v="329.85"/>
    <x v="3"/>
  </r>
  <r>
    <x v="4"/>
    <x v="4"/>
    <s v="C019"/>
    <s v="Sayan Banerjee"/>
    <s v="Male"/>
    <n v="27"/>
    <x v="1"/>
    <s v="Maharashtra"/>
    <x v="1"/>
    <x v="0"/>
    <x v="0"/>
    <n v="1"/>
    <n v="899"/>
    <n v="0"/>
    <n v="40"/>
    <x v="2"/>
    <x v="0"/>
    <n v="4.5"/>
    <x v="1"/>
    <n v="899"/>
    <n v="0"/>
    <x v="4"/>
  </r>
  <r>
    <x v="5"/>
    <x v="5"/>
    <s v="C015"/>
    <s v="Kunal Das"/>
    <s v="Male"/>
    <n v="37"/>
    <x v="4"/>
    <s v="Karnataka"/>
    <x v="3"/>
    <x v="3"/>
    <x v="3"/>
    <n v="3"/>
    <n v="3299"/>
    <n v="0.1"/>
    <n v="120"/>
    <x v="0"/>
    <x v="0"/>
    <n v="3.5"/>
    <x v="0"/>
    <n v="9897"/>
    <n v="989.7"/>
    <x v="5"/>
  </r>
  <r>
    <x v="6"/>
    <x v="6"/>
    <s v="C015"/>
    <s v="Kunal Das"/>
    <s v="Male"/>
    <n v="21"/>
    <x v="5"/>
    <s v="Tamil Nadu"/>
    <x v="3"/>
    <x v="2"/>
    <x v="2"/>
    <n v="2"/>
    <n v="2199"/>
    <n v="0.1"/>
    <n v="60"/>
    <x v="0"/>
    <x v="0"/>
    <n v="4.5"/>
    <x v="1"/>
    <n v="4398"/>
    <n v="439.8"/>
    <x v="6"/>
  </r>
  <r>
    <x v="7"/>
    <x v="7"/>
    <s v="C003"/>
    <s v="Rahul Roy"/>
    <s v="Male"/>
    <n v="28"/>
    <x v="1"/>
    <s v="Maharashtra"/>
    <x v="1"/>
    <x v="4"/>
    <x v="4"/>
    <n v="3"/>
    <n v="2899"/>
    <n v="0.05"/>
    <n v="50"/>
    <x v="3"/>
    <x v="0"/>
    <n v="3.5"/>
    <x v="2"/>
    <n v="8697"/>
    <n v="434.85"/>
    <x v="7"/>
  </r>
  <r>
    <x v="8"/>
    <x v="8"/>
    <s v="C018"/>
    <s v="Moumita Sen"/>
    <s v="Female"/>
    <n v="22"/>
    <x v="6"/>
    <s v="Gujarat"/>
    <x v="1"/>
    <x v="2"/>
    <x v="2"/>
    <n v="4"/>
    <n v="2199"/>
    <n v="0.2"/>
    <n v="40"/>
    <x v="4"/>
    <x v="0"/>
    <n v="3"/>
    <x v="0"/>
    <n v="8796"/>
    <n v="1759.2"/>
    <x v="8"/>
  </r>
  <r>
    <x v="9"/>
    <x v="9"/>
    <s v="C006"/>
    <s v="Ananya Bose"/>
    <s v="Female"/>
    <n v="37"/>
    <x v="5"/>
    <s v="Tamil Nadu"/>
    <x v="3"/>
    <x v="4"/>
    <x v="4"/>
    <n v="1"/>
    <n v="2899"/>
    <n v="0.15"/>
    <n v="40"/>
    <x v="3"/>
    <x v="0"/>
    <n v="3"/>
    <x v="2"/>
    <n v="2899"/>
    <n v="434.85"/>
    <x v="9"/>
  </r>
  <r>
    <x v="10"/>
    <x v="10"/>
    <s v="C018"/>
    <s v="Moumita Sen"/>
    <s v="Male"/>
    <n v="43"/>
    <x v="7"/>
    <s v="Delhi"/>
    <x v="2"/>
    <x v="5"/>
    <x v="4"/>
    <n v="3"/>
    <n v="599"/>
    <n v="0"/>
    <n v="120"/>
    <x v="3"/>
    <x v="0"/>
    <n v="4"/>
    <x v="2"/>
    <n v="1797"/>
    <n v="0"/>
    <x v="10"/>
  </r>
  <r>
    <x v="11"/>
    <x v="11"/>
    <s v="C006"/>
    <s v="Ananya Bose"/>
    <s v="Male"/>
    <n v="37"/>
    <x v="6"/>
    <s v="Gujarat"/>
    <x v="1"/>
    <x v="6"/>
    <x v="3"/>
    <n v="3"/>
    <n v="1799"/>
    <n v="0.2"/>
    <n v="100"/>
    <x v="2"/>
    <x v="0"/>
    <n v="3"/>
    <x v="2"/>
    <n v="5397"/>
    <n v="1079.4000000000001"/>
    <x v="11"/>
  </r>
  <r>
    <x v="12"/>
    <x v="12"/>
    <s v="C011"/>
    <s v="Aditya Nair"/>
    <s v="Male"/>
    <n v="21"/>
    <x v="8"/>
    <s v="Telangana"/>
    <x v="3"/>
    <x v="7"/>
    <x v="3"/>
    <n v="1"/>
    <n v="2499"/>
    <n v="0.1"/>
    <n v="50"/>
    <x v="2"/>
    <x v="1"/>
    <n v="5"/>
    <x v="0"/>
    <n v="2499"/>
    <n v="249.9"/>
    <x v="12"/>
  </r>
  <r>
    <x v="13"/>
    <x v="13"/>
    <s v="C003"/>
    <s v="Rahul Roy"/>
    <s v="Male"/>
    <n v="28"/>
    <x v="8"/>
    <s v="Telangana"/>
    <x v="3"/>
    <x v="6"/>
    <x v="3"/>
    <n v="2"/>
    <n v="1799"/>
    <n v="0.05"/>
    <n v="100"/>
    <x v="1"/>
    <x v="0"/>
    <n v="5"/>
    <x v="1"/>
    <n v="3598"/>
    <n v="179.9"/>
    <x v="13"/>
  </r>
  <r>
    <x v="14"/>
    <x v="8"/>
    <s v="C007"/>
    <s v="Rohan Dutta"/>
    <s v="Female"/>
    <n v="36"/>
    <x v="6"/>
    <s v="Gujarat"/>
    <x v="1"/>
    <x v="0"/>
    <x v="0"/>
    <n v="2"/>
    <n v="899"/>
    <n v="0.1"/>
    <n v="80"/>
    <x v="2"/>
    <x v="1"/>
    <n v="3"/>
    <x v="0"/>
    <n v="1798"/>
    <n v="179.8"/>
    <x v="14"/>
  </r>
  <r>
    <x v="15"/>
    <x v="14"/>
    <s v="C008"/>
    <s v="Tanya Ghosh"/>
    <s v="Male"/>
    <n v="22"/>
    <x v="9"/>
    <s v="West Bengal"/>
    <x v="0"/>
    <x v="8"/>
    <x v="2"/>
    <n v="1"/>
    <n v="699"/>
    <n v="0.2"/>
    <n v="120"/>
    <x v="4"/>
    <x v="0"/>
    <n v="3"/>
    <x v="0"/>
    <n v="699"/>
    <n v="139.80000000000001"/>
    <x v="15"/>
  </r>
  <r>
    <x v="16"/>
    <x v="15"/>
    <s v="C003"/>
    <s v="Rahul Roy"/>
    <s v="Male"/>
    <n v="37"/>
    <x v="0"/>
    <s v="West Bengal"/>
    <x v="0"/>
    <x v="8"/>
    <x v="2"/>
    <n v="1"/>
    <n v="699"/>
    <n v="0.2"/>
    <n v="50"/>
    <x v="3"/>
    <x v="0"/>
    <n v="5"/>
    <x v="2"/>
    <n v="699"/>
    <n v="139.80000000000001"/>
    <x v="16"/>
  </r>
  <r>
    <x v="17"/>
    <x v="16"/>
    <s v="C016"/>
    <s v="Pooja Saha"/>
    <s v="Female"/>
    <n v="33"/>
    <x v="1"/>
    <s v="Maharashtra"/>
    <x v="1"/>
    <x v="9"/>
    <x v="5"/>
    <n v="4"/>
    <n v="999"/>
    <n v="0.05"/>
    <n v="80"/>
    <x v="3"/>
    <x v="0"/>
    <n v="4.5"/>
    <x v="2"/>
    <n v="3996"/>
    <n v="199.8"/>
    <x v="17"/>
  </r>
  <r>
    <x v="18"/>
    <x v="17"/>
    <s v="C002"/>
    <s v="Priya Das"/>
    <s v="Male"/>
    <n v="26"/>
    <x v="9"/>
    <s v="West Bengal"/>
    <x v="0"/>
    <x v="7"/>
    <x v="3"/>
    <n v="4"/>
    <n v="2499"/>
    <n v="0.1"/>
    <n v="100"/>
    <x v="4"/>
    <x v="2"/>
    <n v="4.5"/>
    <x v="0"/>
    <n v="9996"/>
    <n v="999.6"/>
    <x v="18"/>
  </r>
  <r>
    <x v="19"/>
    <x v="18"/>
    <s v="C014"/>
    <s v="Neha Verma"/>
    <s v="Male"/>
    <n v="21"/>
    <x v="2"/>
    <s v="Maharashtra"/>
    <x v="1"/>
    <x v="2"/>
    <x v="2"/>
    <n v="4"/>
    <n v="2199"/>
    <n v="0.05"/>
    <n v="120"/>
    <x v="3"/>
    <x v="2"/>
    <n v="5"/>
    <x v="0"/>
    <n v="8796"/>
    <n v="439.8"/>
    <x v="19"/>
  </r>
  <r>
    <x v="20"/>
    <x v="19"/>
    <s v="C003"/>
    <s v="Rahul Roy"/>
    <s v="Male"/>
    <n v="25"/>
    <x v="1"/>
    <s v="Maharashtra"/>
    <x v="1"/>
    <x v="3"/>
    <x v="3"/>
    <n v="4"/>
    <n v="3299"/>
    <n v="0.15"/>
    <n v="80"/>
    <x v="3"/>
    <x v="0"/>
    <n v="3"/>
    <x v="1"/>
    <n v="13196"/>
    <n v="1979.4"/>
    <x v="20"/>
  </r>
  <r>
    <x v="21"/>
    <x v="4"/>
    <s v="C009"/>
    <s v="Vikram Singh"/>
    <s v="Male"/>
    <n v="29"/>
    <x v="8"/>
    <s v="Telangana"/>
    <x v="3"/>
    <x v="2"/>
    <x v="2"/>
    <n v="4"/>
    <n v="2199"/>
    <n v="0.2"/>
    <n v="50"/>
    <x v="4"/>
    <x v="0"/>
    <n v="3"/>
    <x v="2"/>
    <n v="8796"/>
    <n v="1759.2"/>
    <x v="21"/>
  </r>
  <r>
    <x v="22"/>
    <x v="20"/>
    <s v="C018"/>
    <s v="Moumita Sen"/>
    <s v="Male"/>
    <n v="21"/>
    <x v="0"/>
    <s v="West Bengal"/>
    <x v="0"/>
    <x v="0"/>
    <x v="0"/>
    <n v="3"/>
    <n v="899"/>
    <n v="0"/>
    <n v="100"/>
    <x v="1"/>
    <x v="0"/>
    <n v="3"/>
    <x v="0"/>
    <n v="2697"/>
    <n v="0"/>
    <x v="22"/>
  </r>
  <r>
    <x v="23"/>
    <x v="21"/>
    <s v="C003"/>
    <s v="Rahul Roy"/>
    <s v="Male"/>
    <n v="38"/>
    <x v="3"/>
    <s v="Rajasthan"/>
    <x v="2"/>
    <x v="6"/>
    <x v="3"/>
    <n v="2"/>
    <n v="1799"/>
    <n v="0.15"/>
    <n v="100"/>
    <x v="1"/>
    <x v="1"/>
    <n v="3"/>
    <x v="2"/>
    <n v="3598"/>
    <n v="539.69999999999993"/>
    <x v="23"/>
  </r>
  <r>
    <x v="24"/>
    <x v="22"/>
    <s v="C003"/>
    <s v="Rahul Roy"/>
    <s v="Male"/>
    <n v="28"/>
    <x v="5"/>
    <s v="Tamil Nadu"/>
    <x v="3"/>
    <x v="5"/>
    <x v="4"/>
    <n v="3"/>
    <n v="599"/>
    <n v="0.1"/>
    <n v="80"/>
    <x v="2"/>
    <x v="0"/>
    <n v="3.5"/>
    <x v="2"/>
    <n v="1797"/>
    <n v="179.7"/>
    <x v="24"/>
  </r>
  <r>
    <x v="25"/>
    <x v="23"/>
    <s v="C010"/>
    <s v="Ishita Paul"/>
    <s v="Male"/>
    <n v="22"/>
    <x v="8"/>
    <s v="Telangana"/>
    <x v="3"/>
    <x v="8"/>
    <x v="2"/>
    <n v="1"/>
    <n v="699"/>
    <n v="0"/>
    <n v="100"/>
    <x v="1"/>
    <x v="0"/>
    <n v="3.5"/>
    <x v="2"/>
    <n v="699"/>
    <n v="0"/>
    <x v="25"/>
  </r>
  <r>
    <x v="26"/>
    <x v="24"/>
    <s v="C009"/>
    <s v="Vikram Singh"/>
    <s v="Female"/>
    <n v="39"/>
    <x v="2"/>
    <s v="Maharashtra"/>
    <x v="1"/>
    <x v="8"/>
    <x v="2"/>
    <n v="1"/>
    <n v="699"/>
    <n v="0.05"/>
    <n v="120"/>
    <x v="3"/>
    <x v="0"/>
    <n v="5"/>
    <x v="0"/>
    <n v="699"/>
    <n v="34.950000000000003"/>
    <x v="26"/>
  </r>
  <r>
    <x v="27"/>
    <x v="25"/>
    <s v="C018"/>
    <s v="Moumita Sen"/>
    <s v="Male"/>
    <n v="28"/>
    <x v="7"/>
    <s v="Delhi"/>
    <x v="2"/>
    <x v="5"/>
    <x v="4"/>
    <n v="1"/>
    <n v="599"/>
    <n v="0.05"/>
    <n v="60"/>
    <x v="0"/>
    <x v="0"/>
    <n v="5"/>
    <x v="0"/>
    <n v="599"/>
    <n v="29.95"/>
    <x v="27"/>
  </r>
  <r>
    <x v="28"/>
    <x v="26"/>
    <s v="C011"/>
    <s v="Aditya Nair"/>
    <s v="Male"/>
    <n v="40"/>
    <x v="1"/>
    <s v="Maharashtra"/>
    <x v="1"/>
    <x v="5"/>
    <x v="4"/>
    <n v="3"/>
    <n v="599"/>
    <n v="0.2"/>
    <n v="80"/>
    <x v="0"/>
    <x v="0"/>
    <n v="4"/>
    <x v="0"/>
    <n v="1797"/>
    <n v="359.4"/>
    <x v="28"/>
  </r>
  <r>
    <x v="29"/>
    <x v="27"/>
    <s v="C001"/>
    <s v="Aarav Sharma"/>
    <s v="Male"/>
    <n v="23"/>
    <x v="4"/>
    <s v="Karnataka"/>
    <x v="3"/>
    <x v="3"/>
    <x v="3"/>
    <n v="3"/>
    <n v="3299"/>
    <n v="0.05"/>
    <n v="40"/>
    <x v="3"/>
    <x v="0"/>
    <n v="3.5"/>
    <x v="2"/>
    <n v="9897"/>
    <n v="494.85"/>
    <x v="29"/>
  </r>
  <r>
    <x v="30"/>
    <x v="28"/>
    <s v="C002"/>
    <s v="Priya Das"/>
    <s v="Male"/>
    <n v="31"/>
    <x v="4"/>
    <s v="Karnataka"/>
    <x v="3"/>
    <x v="4"/>
    <x v="4"/>
    <n v="2"/>
    <n v="2899"/>
    <n v="0.15"/>
    <n v="50"/>
    <x v="2"/>
    <x v="0"/>
    <n v="3.5"/>
    <x v="2"/>
    <n v="5798"/>
    <n v="869.69999999999993"/>
    <x v="30"/>
  </r>
  <r>
    <x v="31"/>
    <x v="29"/>
    <s v="C004"/>
    <s v="Sneha Sen"/>
    <s v="Male"/>
    <n v="45"/>
    <x v="4"/>
    <s v="Karnataka"/>
    <x v="3"/>
    <x v="10"/>
    <x v="5"/>
    <n v="4"/>
    <n v="399"/>
    <n v="0.2"/>
    <n v="50"/>
    <x v="4"/>
    <x v="0"/>
    <n v="4.5"/>
    <x v="0"/>
    <n v="1596"/>
    <n v="319.2"/>
    <x v="31"/>
  </r>
  <r>
    <x v="32"/>
    <x v="30"/>
    <s v="C006"/>
    <s v="Ananya Bose"/>
    <s v="Female"/>
    <n v="21"/>
    <x v="4"/>
    <s v="Karnataka"/>
    <x v="3"/>
    <x v="11"/>
    <x v="2"/>
    <n v="2"/>
    <n v="1599"/>
    <n v="0.1"/>
    <n v="80"/>
    <x v="0"/>
    <x v="3"/>
    <n v="3.5"/>
    <x v="0"/>
    <n v="3198"/>
    <n v="319.8"/>
    <x v="32"/>
  </r>
  <r>
    <x v="33"/>
    <x v="31"/>
    <s v="C015"/>
    <s v="Kunal Das"/>
    <s v="Female"/>
    <n v="28"/>
    <x v="4"/>
    <s v="Karnataka"/>
    <x v="3"/>
    <x v="2"/>
    <x v="2"/>
    <n v="2"/>
    <n v="2199"/>
    <n v="0.05"/>
    <n v="40"/>
    <x v="3"/>
    <x v="0"/>
    <n v="4"/>
    <x v="1"/>
    <n v="4398"/>
    <n v="219.9"/>
    <x v="33"/>
  </r>
  <r>
    <x v="34"/>
    <x v="32"/>
    <s v="C017"/>
    <s v="Abhishek Roy"/>
    <s v="Male"/>
    <n v="38"/>
    <x v="5"/>
    <s v="Tamil Nadu"/>
    <x v="3"/>
    <x v="5"/>
    <x v="4"/>
    <n v="3"/>
    <n v="599"/>
    <n v="0"/>
    <n v="60"/>
    <x v="2"/>
    <x v="2"/>
    <n v="3"/>
    <x v="0"/>
    <n v="1797"/>
    <n v="0"/>
    <x v="34"/>
  </r>
  <r>
    <x v="35"/>
    <x v="11"/>
    <s v="C020"/>
    <s v="Nikita Jain"/>
    <s v="Female"/>
    <n v="38"/>
    <x v="5"/>
    <s v="Tamil Nadu"/>
    <x v="3"/>
    <x v="8"/>
    <x v="2"/>
    <n v="3"/>
    <n v="699"/>
    <n v="0.15"/>
    <n v="50"/>
    <x v="0"/>
    <x v="1"/>
    <n v="4"/>
    <x v="0"/>
    <n v="2097"/>
    <n v="314.55"/>
    <x v="35"/>
  </r>
  <r>
    <x v="36"/>
    <x v="33"/>
    <s v="C014"/>
    <s v="Neha Verma"/>
    <s v="Female"/>
    <n v="41"/>
    <x v="0"/>
    <s v="West Bengal"/>
    <x v="0"/>
    <x v="10"/>
    <x v="5"/>
    <n v="2"/>
    <n v="399"/>
    <n v="0.1"/>
    <n v="40"/>
    <x v="2"/>
    <x v="0"/>
    <n v="4"/>
    <x v="2"/>
    <n v="798"/>
    <n v="79.800000000000011"/>
    <x v="36"/>
  </r>
  <r>
    <x v="37"/>
    <x v="14"/>
    <s v="C010"/>
    <s v="Ishita Paul"/>
    <s v="Female"/>
    <n v="41"/>
    <x v="5"/>
    <s v="Tamil Nadu"/>
    <x v="3"/>
    <x v="8"/>
    <x v="2"/>
    <n v="4"/>
    <n v="699"/>
    <n v="0.1"/>
    <n v="120"/>
    <x v="3"/>
    <x v="0"/>
    <n v="3.5"/>
    <x v="2"/>
    <n v="2796"/>
    <n v="279.60000000000002"/>
    <x v="37"/>
  </r>
  <r>
    <x v="38"/>
    <x v="34"/>
    <s v="C019"/>
    <s v="Sayan Banerjee"/>
    <s v="Female"/>
    <n v="34"/>
    <x v="7"/>
    <s v="Delhi"/>
    <x v="2"/>
    <x v="11"/>
    <x v="2"/>
    <n v="1"/>
    <n v="1599"/>
    <n v="0.1"/>
    <n v="80"/>
    <x v="1"/>
    <x v="0"/>
    <n v="4.5"/>
    <x v="2"/>
    <n v="1599"/>
    <n v="159.9"/>
    <x v="38"/>
  </r>
  <r>
    <x v="39"/>
    <x v="35"/>
    <s v="C007"/>
    <s v="Rohan Dutta"/>
    <s v="Female"/>
    <n v="22"/>
    <x v="6"/>
    <s v="Gujarat"/>
    <x v="1"/>
    <x v="9"/>
    <x v="5"/>
    <n v="2"/>
    <n v="999"/>
    <n v="0"/>
    <n v="50"/>
    <x v="1"/>
    <x v="0"/>
    <n v="4"/>
    <x v="0"/>
    <n v="1998"/>
    <n v="0"/>
    <x v="39"/>
  </r>
  <r>
    <x v="40"/>
    <x v="36"/>
    <s v="C007"/>
    <s v="Rohan Dutta"/>
    <s v="Female"/>
    <n v="33"/>
    <x v="2"/>
    <s v="Maharashtra"/>
    <x v="1"/>
    <x v="7"/>
    <x v="3"/>
    <n v="1"/>
    <n v="2499"/>
    <n v="0.05"/>
    <n v="120"/>
    <x v="0"/>
    <x v="0"/>
    <n v="5"/>
    <x v="0"/>
    <n v="2499"/>
    <n v="124.95"/>
    <x v="40"/>
  </r>
  <r>
    <x v="41"/>
    <x v="7"/>
    <s v="C013"/>
    <s v="Sourav Ghosh"/>
    <s v="Female"/>
    <n v="27"/>
    <x v="8"/>
    <s v="Telangana"/>
    <x v="3"/>
    <x v="11"/>
    <x v="2"/>
    <n v="2"/>
    <n v="1599"/>
    <n v="0.05"/>
    <n v="50"/>
    <x v="0"/>
    <x v="0"/>
    <n v="5"/>
    <x v="1"/>
    <n v="3198"/>
    <n v="159.9"/>
    <x v="41"/>
  </r>
  <r>
    <x v="42"/>
    <x v="37"/>
    <s v="C002"/>
    <s v="Priya Das"/>
    <s v="Female"/>
    <n v="44"/>
    <x v="6"/>
    <s v="Gujarat"/>
    <x v="1"/>
    <x v="1"/>
    <x v="1"/>
    <n v="1"/>
    <n v="1299"/>
    <n v="0.15"/>
    <n v="80"/>
    <x v="1"/>
    <x v="3"/>
    <n v="5"/>
    <x v="2"/>
    <n v="1299"/>
    <n v="194.85"/>
    <x v="42"/>
  </r>
  <r>
    <x v="43"/>
    <x v="38"/>
    <s v="C017"/>
    <s v="Abhishek Roy"/>
    <s v="Female"/>
    <n v="44"/>
    <x v="5"/>
    <s v="Tamil Nadu"/>
    <x v="3"/>
    <x v="10"/>
    <x v="5"/>
    <n v="4"/>
    <n v="399"/>
    <n v="0.05"/>
    <n v="50"/>
    <x v="3"/>
    <x v="2"/>
    <n v="4"/>
    <x v="2"/>
    <n v="1596"/>
    <n v="79.800000000000011"/>
    <x v="43"/>
  </r>
  <r>
    <x v="44"/>
    <x v="39"/>
    <s v="C016"/>
    <s v="Pooja Saha"/>
    <s v="Female"/>
    <n v="30"/>
    <x v="1"/>
    <s v="Maharashtra"/>
    <x v="1"/>
    <x v="2"/>
    <x v="2"/>
    <n v="4"/>
    <n v="2199"/>
    <n v="0"/>
    <n v="100"/>
    <x v="2"/>
    <x v="0"/>
    <n v="3"/>
    <x v="0"/>
    <n v="8796"/>
    <n v="0"/>
    <x v="44"/>
  </r>
  <r>
    <x v="45"/>
    <x v="40"/>
    <s v="C005"/>
    <s v="Arjun Gupta"/>
    <s v="Female"/>
    <n v="33"/>
    <x v="1"/>
    <s v="Maharashtra"/>
    <x v="1"/>
    <x v="11"/>
    <x v="2"/>
    <n v="2"/>
    <n v="1599"/>
    <n v="0.05"/>
    <n v="40"/>
    <x v="2"/>
    <x v="0"/>
    <n v="3.5"/>
    <x v="1"/>
    <n v="3198"/>
    <n v="159.9"/>
    <x v="45"/>
  </r>
  <r>
    <x v="46"/>
    <x v="9"/>
    <s v="C013"/>
    <s v="Sourav Ghosh"/>
    <s v="Female"/>
    <n v="44"/>
    <x v="3"/>
    <s v="Rajasthan"/>
    <x v="2"/>
    <x v="0"/>
    <x v="0"/>
    <n v="1"/>
    <n v="899"/>
    <n v="0.2"/>
    <n v="80"/>
    <x v="2"/>
    <x v="0"/>
    <n v="4.5"/>
    <x v="2"/>
    <n v="899"/>
    <n v="179.8"/>
    <x v="46"/>
  </r>
  <r>
    <x v="47"/>
    <x v="41"/>
    <s v="C018"/>
    <s v="Moumita Sen"/>
    <s v="Female"/>
    <n v="30"/>
    <x v="3"/>
    <s v="Rajasthan"/>
    <x v="2"/>
    <x v="1"/>
    <x v="1"/>
    <n v="4"/>
    <n v="1299"/>
    <n v="0.05"/>
    <n v="120"/>
    <x v="0"/>
    <x v="0"/>
    <n v="4.5"/>
    <x v="2"/>
    <n v="5196"/>
    <n v="259.8"/>
    <x v="47"/>
  </r>
  <r>
    <x v="48"/>
    <x v="42"/>
    <s v="C006"/>
    <s v="Ananya Bose"/>
    <s v="Male"/>
    <n v="40"/>
    <x v="8"/>
    <s v="Telangana"/>
    <x v="3"/>
    <x v="3"/>
    <x v="3"/>
    <n v="1"/>
    <n v="3299"/>
    <n v="0.15"/>
    <n v="80"/>
    <x v="0"/>
    <x v="0"/>
    <n v="3.5"/>
    <x v="1"/>
    <n v="3299"/>
    <n v="494.85"/>
    <x v="48"/>
  </r>
  <r>
    <x v="49"/>
    <x v="43"/>
    <s v="C006"/>
    <s v="Ananya Bose"/>
    <s v="Female"/>
    <n v="28"/>
    <x v="0"/>
    <s v="West Bengal"/>
    <x v="0"/>
    <x v="2"/>
    <x v="2"/>
    <n v="4"/>
    <n v="2199"/>
    <n v="0.1"/>
    <n v="80"/>
    <x v="2"/>
    <x v="0"/>
    <n v="4"/>
    <x v="0"/>
    <n v="8796"/>
    <n v="879.6"/>
    <x v="49"/>
  </r>
  <r>
    <x v="50"/>
    <x v="0"/>
    <s v="C016"/>
    <s v="Pooja Saha"/>
    <s v="Male"/>
    <n v="27"/>
    <x v="0"/>
    <s v="West Bengal"/>
    <x v="0"/>
    <x v="0"/>
    <x v="0"/>
    <n v="1"/>
    <n v="899"/>
    <n v="0.1"/>
    <n v="50"/>
    <x v="0"/>
    <x v="0"/>
    <n v="3"/>
    <x v="2"/>
    <n v="899"/>
    <n v="89.9"/>
    <x v="50"/>
  </r>
  <r>
    <x v="51"/>
    <x v="44"/>
    <s v="C005"/>
    <s v="Arjun Gupta"/>
    <s v="Female"/>
    <n v="44"/>
    <x v="1"/>
    <s v="Maharashtra"/>
    <x v="1"/>
    <x v="3"/>
    <x v="3"/>
    <n v="4"/>
    <n v="3299"/>
    <n v="0"/>
    <n v="60"/>
    <x v="3"/>
    <x v="1"/>
    <n v="3.5"/>
    <x v="2"/>
    <n v="13196"/>
    <n v="0"/>
    <x v="51"/>
  </r>
  <r>
    <x v="52"/>
    <x v="45"/>
    <s v="C020"/>
    <s v="Nikita Jain"/>
    <s v="Female"/>
    <n v="32"/>
    <x v="9"/>
    <s v="West Bengal"/>
    <x v="0"/>
    <x v="3"/>
    <x v="3"/>
    <n v="3"/>
    <n v="3299"/>
    <n v="0"/>
    <n v="120"/>
    <x v="2"/>
    <x v="0"/>
    <n v="3.5"/>
    <x v="0"/>
    <n v="9897"/>
    <n v="0"/>
    <x v="52"/>
  </r>
  <r>
    <x v="53"/>
    <x v="46"/>
    <s v="C019"/>
    <s v="Sayan Banerjee"/>
    <s v="Male"/>
    <n v="31"/>
    <x v="1"/>
    <s v="Maharashtra"/>
    <x v="1"/>
    <x v="6"/>
    <x v="3"/>
    <n v="3"/>
    <n v="1799"/>
    <n v="0.2"/>
    <n v="100"/>
    <x v="1"/>
    <x v="0"/>
    <n v="4.5"/>
    <x v="2"/>
    <n v="5397"/>
    <n v="1079.4000000000001"/>
    <x v="11"/>
  </r>
  <r>
    <x v="54"/>
    <x v="47"/>
    <s v="C012"/>
    <s v="Riya Mukherjee"/>
    <s v="Male"/>
    <n v="33"/>
    <x v="9"/>
    <s v="West Bengal"/>
    <x v="0"/>
    <x v="10"/>
    <x v="5"/>
    <n v="3"/>
    <n v="399"/>
    <n v="0"/>
    <n v="60"/>
    <x v="3"/>
    <x v="0"/>
    <n v="4.5"/>
    <x v="2"/>
    <n v="1197"/>
    <n v="0"/>
    <x v="53"/>
  </r>
  <r>
    <x v="55"/>
    <x v="46"/>
    <s v="C005"/>
    <s v="Arjun Gupta"/>
    <s v="Female"/>
    <n v="33"/>
    <x v="5"/>
    <s v="Tamil Nadu"/>
    <x v="3"/>
    <x v="3"/>
    <x v="3"/>
    <n v="3"/>
    <n v="3299"/>
    <n v="0.2"/>
    <n v="120"/>
    <x v="3"/>
    <x v="2"/>
    <n v="5"/>
    <x v="1"/>
    <n v="9897"/>
    <n v="1979.4"/>
    <x v="54"/>
  </r>
  <r>
    <x v="56"/>
    <x v="48"/>
    <s v="C011"/>
    <s v="Aditya Nair"/>
    <s v="Female"/>
    <n v="30"/>
    <x v="1"/>
    <s v="Maharashtra"/>
    <x v="1"/>
    <x v="6"/>
    <x v="3"/>
    <n v="3"/>
    <n v="1799"/>
    <n v="0.15"/>
    <n v="40"/>
    <x v="1"/>
    <x v="0"/>
    <n v="4.5"/>
    <x v="1"/>
    <n v="5397"/>
    <n v="809.55"/>
    <x v="55"/>
  </r>
  <r>
    <x v="57"/>
    <x v="49"/>
    <s v="C006"/>
    <s v="Ananya Bose"/>
    <s v="Female"/>
    <n v="37"/>
    <x v="8"/>
    <s v="Telangana"/>
    <x v="3"/>
    <x v="1"/>
    <x v="1"/>
    <n v="3"/>
    <n v="1299"/>
    <n v="0.1"/>
    <n v="40"/>
    <x v="1"/>
    <x v="0"/>
    <n v="5"/>
    <x v="0"/>
    <n v="3897"/>
    <n v="389.7"/>
    <x v="56"/>
  </r>
  <r>
    <x v="58"/>
    <x v="50"/>
    <s v="C003"/>
    <s v="Rahul Roy"/>
    <s v="Female"/>
    <n v="34"/>
    <x v="1"/>
    <s v="Maharashtra"/>
    <x v="1"/>
    <x v="0"/>
    <x v="0"/>
    <n v="4"/>
    <n v="899"/>
    <n v="0.15"/>
    <n v="40"/>
    <x v="3"/>
    <x v="0"/>
    <n v="3"/>
    <x v="1"/>
    <n v="3596"/>
    <n v="539.4"/>
    <x v="57"/>
  </r>
  <r>
    <x v="59"/>
    <x v="4"/>
    <s v="C008"/>
    <s v="Tanya Ghosh"/>
    <s v="Female"/>
    <n v="33"/>
    <x v="5"/>
    <s v="Tamil Nadu"/>
    <x v="3"/>
    <x v="0"/>
    <x v="0"/>
    <n v="2"/>
    <n v="899"/>
    <n v="0.1"/>
    <n v="120"/>
    <x v="3"/>
    <x v="0"/>
    <n v="5"/>
    <x v="1"/>
    <n v="1798"/>
    <n v="179.8"/>
    <x v="58"/>
  </r>
  <r>
    <x v="60"/>
    <x v="51"/>
    <s v="C012"/>
    <s v="Riya Mukherjee"/>
    <s v="Female"/>
    <n v="23"/>
    <x v="8"/>
    <s v="Telangana"/>
    <x v="3"/>
    <x v="2"/>
    <x v="2"/>
    <n v="3"/>
    <n v="2199"/>
    <n v="0.1"/>
    <n v="120"/>
    <x v="4"/>
    <x v="0"/>
    <n v="5"/>
    <x v="2"/>
    <n v="6597"/>
    <n v="659.7"/>
    <x v="59"/>
  </r>
  <r>
    <x v="61"/>
    <x v="52"/>
    <s v="C006"/>
    <s v="Ananya Bose"/>
    <s v="Female"/>
    <n v="23"/>
    <x v="1"/>
    <s v="Maharashtra"/>
    <x v="1"/>
    <x v="1"/>
    <x v="1"/>
    <n v="4"/>
    <n v="1299"/>
    <n v="0.1"/>
    <n v="50"/>
    <x v="1"/>
    <x v="0"/>
    <n v="4"/>
    <x v="0"/>
    <n v="5196"/>
    <n v="519.6"/>
    <x v="60"/>
  </r>
  <r>
    <x v="62"/>
    <x v="28"/>
    <s v="C012"/>
    <s v="Riya Mukherjee"/>
    <s v="Female"/>
    <n v="42"/>
    <x v="2"/>
    <s v="Maharashtra"/>
    <x v="1"/>
    <x v="2"/>
    <x v="2"/>
    <n v="1"/>
    <n v="2199"/>
    <n v="0.2"/>
    <n v="50"/>
    <x v="0"/>
    <x v="0"/>
    <n v="4.5"/>
    <x v="0"/>
    <n v="2199"/>
    <n v="439.8"/>
    <x v="61"/>
  </r>
  <r>
    <x v="63"/>
    <x v="53"/>
    <s v="C001"/>
    <s v="Aarav Sharma"/>
    <s v="Female"/>
    <n v="35"/>
    <x v="3"/>
    <s v="Rajasthan"/>
    <x v="2"/>
    <x v="2"/>
    <x v="2"/>
    <n v="4"/>
    <n v="2199"/>
    <n v="0.15"/>
    <n v="40"/>
    <x v="0"/>
    <x v="0"/>
    <n v="3"/>
    <x v="1"/>
    <n v="8796"/>
    <n v="1319.4"/>
    <x v="62"/>
  </r>
  <r>
    <x v="64"/>
    <x v="54"/>
    <s v="C016"/>
    <s v="Pooja Saha"/>
    <s v="Male"/>
    <n v="27"/>
    <x v="9"/>
    <s v="West Bengal"/>
    <x v="0"/>
    <x v="4"/>
    <x v="4"/>
    <n v="1"/>
    <n v="2899"/>
    <n v="0.05"/>
    <n v="40"/>
    <x v="2"/>
    <x v="3"/>
    <n v="5"/>
    <x v="1"/>
    <n v="2899"/>
    <n v="144.94999999999999"/>
    <x v="63"/>
  </r>
  <r>
    <x v="65"/>
    <x v="9"/>
    <s v="C020"/>
    <s v="Nikita Jain"/>
    <s v="Female"/>
    <n v="38"/>
    <x v="3"/>
    <s v="Rajasthan"/>
    <x v="2"/>
    <x v="4"/>
    <x v="4"/>
    <n v="2"/>
    <n v="2899"/>
    <n v="0.2"/>
    <n v="80"/>
    <x v="3"/>
    <x v="0"/>
    <n v="4"/>
    <x v="2"/>
    <n v="5798"/>
    <n v="1159.5999999999999"/>
    <x v="64"/>
  </r>
  <r>
    <x v="66"/>
    <x v="55"/>
    <s v="C020"/>
    <s v="Nikita Jain"/>
    <s v="Male"/>
    <n v="27"/>
    <x v="0"/>
    <s v="West Bengal"/>
    <x v="0"/>
    <x v="4"/>
    <x v="4"/>
    <n v="1"/>
    <n v="2899"/>
    <n v="0.05"/>
    <n v="50"/>
    <x v="0"/>
    <x v="0"/>
    <n v="5"/>
    <x v="0"/>
    <n v="2899"/>
    <n v="144.94999999999999"/>
    <x v="65"/>
  </r>
  <r>
    <x v="67"/>
    <x v="56"/>
    <s v="C006"/>
    <s v="Ananya Bose"/>
    <s v="Female"/>
    <n v="42"/>
    <x v="0"/>
    <s v="West Bengal"/>
    <x v="0"/>
    <x v="11"/>
    <x v="2"/>
    <n v="4"/>
    <n v="1599"/>
    <n v="0.2"/>
    <n v="60"/>
    <x v="4"/>
    <x v="0"/>
    <n v="4.5"/>
    <x v="0"/>
    <n v="6396"/>
    <n v="1279.2"/>
    <x v="66"/>
  </r>
  <r>
    <x v="68"/>
    <x v="32"/>
    <s v="C008"/>
    <s v="Tanya Ghosh"/>
    <s v="Female"/>
    <n v="24"/>
    <x v="7"/>
    <s v="Delhi"/>
    <x v="2"/>
    <x v="5"/>
    <x v="4"/>
    <n v="2"/>
    <n v="599"/>
    <n v="0.15"/>
    <n v="40"/>
    <x v="4"/>
    <x v="0"/>
    <n v="3"/>
    <x v="0"/>
    <n v="1198"/>
    <n v="179.7"/>
    <x v="67"/>
  </r>
  <r>
    <x v="69"/>
    <x v="57"/>
    <s v="C010"/>
    <s v="Ishita Paul"/>
    <s v="Female"/>
    <n v="28"/>
    <x v="3"/>
    <s v="Rajasthan"/>
    <x v="2"/>
    <x v="0"/>
    <x v="0"/>
    <n v="3"/>
    <n v="899"/>
    <n v="0.15"/>
    <n v="100"/>
    <x v="2"/>
    <x v="0"/>
    <n v="5"/>
    <x v="1"/>
    <n v="2697"/>
    <n v="404.55"/>
    <x v="68"/>
  </r>
  <r>
    <x v="70"/>
    <x v="58"/>
    <s v="C015"/>
    <s v="Kunal Das"/>
    <s v="Male"/>
    <n v="22"/>
    <x v="9"/>
    <s v="West Bengal"/>
    <x v="0"/>
    <x v="4"/>
    <x v="4"/>
    <n v="1"/>
    <n v="2899"/>
    <n v="0.15"/>
    <n v="50"/>
    <x v="2"/>
    <x v="0"/>
    <n v="5"/>
    <x v="2"/>
    <n v="2899"/>
    <n v="434.85"/>
    <x v="69"/>
  </r>
  <r>
    <x v="71"/>
    <x v="56"/>
    <s v="C001"/>
    <s v="Aarav Sharma"/>
    <s v="Female"/>
    <n v="25"/>
    <x v="7"/>
    <s v="Delhi"/>
    <x v="2"/>
    <x v="4"/>
    <x v="4"/>
    <n v="1"/>
    <n v="2899"/>
    <n v="0.05"/>
    <n v="100"/>
    <x v="3"/>
    <x v="0"/>
    <n v="4.5"/>
    <x v="2"/>
    <n v="2899"/>
    <n v="144.94999999999999"/>
    <x v="70"/>
  </r>
  <r>
    <x v="72"/>
    <x v="59"/>
    <s v="C016"/>
    <s v="Pooja Saha"/>
    <s v="Male"/>
    <n v="30"/>
    <x v="9"/>
    <s v="West Bengal"/>
    <x v="0"/>
    <x v="9"/>
    <x v="5"/>
    <n v="3"/>
    <n v="999"/>
    <n v="0.15"/>
    <n v="80"/>
    <x v="0"/>
    <x v="0"/>
    <n v="4.5"/>
    <x v="1"/>
    <n v="2997"/>
    <n v="449.55"/>
    <x v="71"/>
  </r>
  <r>
    <x v="73"/>
    <x v="60"/>
    <s v="C013"/>
    <s v="Sourav Ghosh"/>
    <s v="Female"/>
    <n v="36"/>
    <x v="6"/>
    <s v="Gujarat"/>
    <x v="1"/>
    <x v="7"/>
    <x v="3"/>
    <n v="4"/>
    <n v="2499"/>
    <n v="0"/>
    <n v="40"/>
    <x v="0"/>
    <x v="0"/>
    <n v="5"/>
    <x v="1"/>
    <n v="9996"/>
    <n v="0"/>
    <x v="72"/>
  </r>
  <r>
    <x v="74"/>
    <x v="61"/>
    <s v="C014"/>
    <s v="Neha Verma"/>
    <s v="Male"/>
    <n v="26"/>
    <x v="0"/>
    <s v="West Bengal"/>
    <x v="0"/>
    <x v="1"/>
    <x v="1"/>
    <n v="3"/>
    <n v="1299"/>
    <n v="0.2"/>
    <n v="60"/>
    <x v="3"/>
    <x v="0"/>
    <n v="5"/>
    <x v="0"/>
    <n v="3897"/>
    <n v="779.40000000000009"/>
    <x v="73"/>
  </r>
  <r>
    <x v="75"/>
    <x v="62"/>
    <s v="C010"/>
    <s v="Ishita Paul"/>
    <s v="Male"/>
    <n v="42"/>
    <x v="8"/>
    <s v="Telangana"/>
    <x v="3"/>
    <x v="0"/>
    <x v="0"/>
    <n v="4"/>
    <n v="899"/>
    <n v="0"/>
    <n v="50"/>
    <x v="1"/>
    <x v="1"/>
    <n v="4"/>
    <x v="2"/>
    <n v="3596"/>
    <n v="0"/>
    <x v="74"/>
  </r>
  <r>
    <x v="76"/>
    <x v="6"/>
    <s v="C001"/>
    <s v="Aarav Sharma"/>
    <s v="Male"/>
    <n v="40"/>
    <x v="6"/>
    <s v="Gujarat"/>
    <x v="1"/>
    <x v="11"/>
    <x v="2"/>
    <n v="1"/>
    <n v="1599"/>
    <n v="0.05"/>
    <n v="50"/>
    <x v="3"/>
    <x v="2"/>
    <n v="4.5"/>
    <x v="2"/>
    <n v="1599"/>
    <n v="79.95"/>
    <x v="75"/>
  </r>
  <r>
    <x v="77"/>
    <x v="63"/>
    <s v="C010"/>
    <s v="Ishita Paul"/>
    <s v="Male"/>
    <n v="34"/>
    <x v="6"/>
    <s v="Gujarat"/>
    <x v="1"/>
    <x v="0"/>
    <x v="0"/>
    <n v="3"/>
    <n v="899"/>
    <n v="0.15"/>
    <n v="100"/>
    <x v="3"/>
    <x v="0"/>
    <n v="3.5"/>
    <x v="1"/>
    <n v="2697"/>
    <n v="404.55"/>
    <x v="68"/>
  </r>
  <r>
    <x v="78"/>
    <x v="64"/>
    <s v="C007"/>
    <s v="Rohan Dutta"/>
    <s v="Female"/>
    <n v="45"/>
    <x v="3"/>
    <s v="Rajasthan"/>
    <x v="2"/>
    <x v="10"/>
    <x v="5"/>
    <n v="2"/>
    <n v="399"/>
    <n v="0"/>
    <n v="100"/>
    <x v="3"/>
    <x v="0"/>
    <n v="4"/>
    <x v="0"/>
    <n v="798"/>
    <n v="0"/>
    <x v="76"/>
  </r>
  <r>
    <x v="79"/>
    <x v="65"/>
    <s v="C010"/>
    <s v="Ishita Paul"/>
    <s v="Female"/>
    <n v="37"/>
    <x v="7"/>
    <s v="Delhi"/>
    <x v="2"/>
    <x v="4"/>
    <x v="4"/>
    <n v="4"/>
    <n v="2899"/>
    <n v="0.05"/>
    <n v="100"/>
    <x v="2"/>
    <x v="0"/>
    <n v="4.5"/>
    <x v="1"/>
    <n v="11596"/>
    <n v="579.80000000000007"/>
    <x v="77"/>
  </r>
  <r>
    <x v="80"/>
    <x v="66"/>
    <s v="C011"/>
    <s v="Aditya Nair"/>
    <s v="Male"/>
    <n v="30"/>
    <x v="1"/>
    <s v="Maharashtra"/>
    <x v="1"/>
    <x v="0"/>
    <x v="0"/>
    <n v="2"/>
    <n v="899"/>
    <n v="0.2"/>
    <n v="120"/>
    <x v="3"/>
    <x v="0"/>
    <n v="4.5"/>
    <x v="2"/>
    <n v="1798"/>
    <n v="359.6"/>
    <x v="78"/>
  </r>
  <r>
    <x v="81"/>
    <x v="67"/>
    <s v="C013"/>
    <s v="Sourav Ghosh"/>
    <s v="Female"/>
    <n v="23"/>
    <x v="5"/>
    <s v="Tamil Nadu"/>
    <x v="3"/>
    <x v="5"/>
    <x v="4"/>
    <n v="2"/>
    <n v="599"/>
    <n v="0.15"/>
    <n v="80"/>
    <x v="1"/>
    <x v="0"/>
    <n v="3"/>
    <x v="2"/>
    <n v="1198"/>
    <n v="179.7"/>
    <x v="79"/>
  </r>
  <r>
    <x v="82"/>
    <x v="68"/>
    <s v="C015"/>
    <s v="Kunal Das"/>
    <s v="Male"/>
    <n v="35"/>
    <x v="0"/>
    <s v="West Bengal"/>
    <x v="0"/>
    <x v="0"/>
    <x v="0"/>
    <n v="2"/>
    <n v="899"/>
    <n v="0.15"/>
    <n v="60"/>
    <x v="4"/>
    <x v="0"/>
    <n v="4"/>
    <x v="2"/>
    <n v="1798"/>
    <n v="269.7"/>
    <x v="80"/>
  </r>
  <r>
    <x v="83"/>
    <x v="55"/>
    <s v="C013"/>
    <s v="Sourav Ghosh"/>
    <s v="Male"/>
    <n v="39"/>
    <x v="9"/>
    <s v="West Bengal"/>
    <x v="0"/>
    <x v="8"/>
    <x v="2"/>
    <n v="4"/>
    <n v="699"/>
    <n v="0.1"/>
    <n v="40"/>
    <x v="3"/>
    <x v="0"/>
    <n v="3.5"/>
    <x v="2"/>
    <n v="2796"/>
    <n v="279.60000000000002"/>
    <x v="81"/>
  </r>
  <r>
    <x v="84"/>
    <x v="69"/>
    <s v="C010"/>
    <s v="Ishita Paul"/>
    <s v="Female"/>
    <n v="25"/>
    <x v="1"/>
    <s v="Maharashtra"/>
    <x v="1"/>
    <x v="0"/>
    <x v="0"/>
    <n v="1"/>
    <n v="899"/>
    <n v="0.15"/>
    <n v="120"/>
    <x v="0"/>
    <x v="0"/>
    <n v="4"/>
    <x v="0"/>
    <n v="899"/>
    <n v="134.85"/>
    <x v="82"/>
  </r>
  <r>
    <x v="85"/>
    <x v="70"/>
    <s v="C002"/>
    <s v="Priya Das"/>
    <s v="Female"/>
    <n v="38"/>
    <x v="4"/>
    <s v="Karnataka"/>
    <x v="3"/>
    <x v="7"/>
    <x v="3"/>
    <n v="3"/>
    <n v="2499"/>
    <n v="0.1"/>
    <n v="120"/>
    <x v="4"/>
    <x v="0"/>
    <n v="3.5"/>
    <x v="0"/>
    <n v="7497"/>
    <n v="749.7"/>
    <x v="83"/>
  </r>
  <r>
    <x v="86"/>
    <x v="71"/>
    <s v="C006"/>
    <s v="Ananya Bose"/>
    <s v="Male"/>
    <n v="27"/>
    <x v="9"/>
    <s v="West Bengal"/>
    <x v="0"/>
    <x v="4"/>
    <x v="4"/>
    <n v="4"/>
    <n v="2899"/>
    <n v="0.2"/>
    <n v="80"/>
    <x v="1"/>
    <x v="0"/>
    <n v="4"/>
    <x v="1"/>
    <n v="11596"/>
    <n v="2319.1999999999998"/>
    <x v="84"/>
  </r>
  <r>
    <x v="87"/>
    <x v="30"/>
    <s v="C009"/>
    <s v="Vikram Singh"/>
    <s v="Female"/>
    <n v="40"/>
    <x v="0"/>
    <s v="West Bengal"/>
    <x v="0"/>
    <x v="9"/>
    <x v="5"/>
    <n v="3"/>
    <n v="999"/>
    <n v="0.2"/>
    <n v="80"/>
    <x v="2"/>
    <x v="0"/>
    <n v="4"/>
    <x v="1"/>
    <n v="2997"/>
    <n v="599.4"/>
    <x v="85"/>
  </r>
  <r>
    <x v="88"/>
    <x v="15"/>
    <s v="C010"/>
    <s v="Ishita Paul"/>
    <s v="Female"/>
    <n v="42"/>
    <x v="1"/>
    <s v="Maharashtra"/>
    <x v="1"/>
    <x v="11"/>
    <x v="2"/>
    <n v="4"/>
    <n v="1599"/>
    <n v="0"/>
    <n v="60"/>
    <x v="2"/>
    <x v="0"/>
    <n v="3"/>
    <x v="2"/>
    <n v="6396"/>
    <n v="0"/>
    <x v="86"/>
  </r>
  <r>
    <x v="89"/>
    <x v="38"/>
    <s v="C013"/>
    <s v="Sourav Ghosh"/>
    <s v="Male"/>
    <n v="39"/>
    <x v="7"/>
    <s v="Delhi"/>
    <x v="2"/>
    <x v="7"/>
    <x v="3"/>
    <n v="1"/>
    <n v="2499"/>
    <n v="0.2"/>
    <n v="60"/>
    <x v="2"/>
    <x v="0"/>
    <n v="3.5"/>
    <x v="2"/>
    <n v="2499"/>
    <n v="499.8"/>
    <x v="87"/>
  </r>
  <r>
    <x v="90"/>
    <x v="72"/>
    <s v="C007"/>
    <s v="Rohan Dutta"/>
    <s v="Female"/>
    <n v="45"/>
    <x v="3"/>
    <s v="Rajasthan"/>
    <x v="2"/>
    <x v="2"/>
    <x v="2"/>
    <n v="2"/>
    <n v="2199"/>
    <n v="0"/>
    <n v="80"/>
    <x v="0"/>
    <x v="0"/>
    <n v="3"/>
    <x v="2"/>
    <n v="4398"/>
    <n v="0"/>
    <x v="88"/>
  </r>
  <r>
    <x v="91"/>
    <x v="29"/>
    <s v="C012"/>
    <s v="Riya Mukherjee"/>
    <s v="Male"/>
    <n v="45"/>
    <x v="2"/>
    <s v="Maharashtra"/>
    <x v="1"/>
    <x v="6"/>
    <x v="3"/>
    <n v="3"/>
    <n v="1799"/>
    <n v="0.1"/>
    <n v="100"/>
    <x v="4"/>
    <x v="0"/>
    <n v="4"/>
    <x v="2"/>
    <n v="5397"/>
    <n v="539.70000000000005"/>
    <x v="89"/>
  </r>
  <r>
    <x v="92"/>
    <x v="46"/>
    <s v="C017"/>
    <s v="Abhishek Roy"/>
    <s v="Male"/>
    <n v="34"/>
    <x v="7"/>
    <s v="Delhi"/>
    <x v="2"/>
    <x v="3"/>
    <x v="3"/>
    <n v="3"/>
    <n v="3299"/>
    <n v="0.15"/>
    <n v="40"/>
    <x v="2"/>
    <x v="0"/>
    <n v="3.5"/>
    <x v="0"/>
    <n v="9897"/>
    <n v="1484.55"/>
    <x v="90"/>
  </r>
  <r>
    <x v="93"/>
    <x v="73"/>
    <s v="C013"/>
    <s v="Sourav Ghosh"/>
    <s v="Female"/>
    <n v="31"/>
    <x v="6"/>
    <s v="Gujarat"/>
    <x v="1"/>
    <x v="8"/>
    <x v="2"/>
    <n v="1"/>
    <n v="699"/>
    <n v="0.15"/>
    <n v="120"/>
    <x v="0"/>
    <x v="0"/>
    <n v="4"/>
    <x v="2"/>
    <n v="699"/>
    <n v="104.85"/>
    <x v="91"/>
  </r>
  <r>
    <x v="94"/>
    <x v="31"/>
    <s v="C013"/>
    <s v="Sourav Ghosh"/>
    <s v="Female"/>
    <n v="39"/>
    <x v="4"/>
    <s v="Karnataka"/>
    <x v="3"/>
    <x v="6"/>
    <x v="3"/>
    <n v="2"/>
    <n v="1799"/>
    <n v="0.15"/>
    <n v="50"/>
    <x v="1"/>
    <x v="0"/>
    <n v="3"/>
    <x v="2"/>
    <n v="3598"/>
    <n v="539.69999999999993"/>
    <x v="92"/>
  </r>
  <r>
    <x v="95"/>
    <x v="74"/>
    <s v="C015"/>
    <s v="Kunal Das"/>
    <s v="Female"/>
    <n v="35"/>
    <x v="7"/>
    <s v="Delhi"/>
    <x v="2"/>
    <x v="5"/>
    <x v="4"/>
    <n v="4"/>
    <n v="599"/>
    <n v="0"/>
    <n v="40"/>
    <x v="0"/>
    <x v="0"/>
    <n v="3"/>
    <x v="0"/>
    <n v="2396"/>
    <n v="0"/>
    <x v="93"/>
  </r>
  <r>
    <x v="96"/>
    <x v="75"/>
    <s v="C018"/>
    <s v="Moumita Sen"/>
    <s v="Female"/>
    <n v="38"/>
    <x v="2"/>
    <s v="Maharashtra"/>
    <x v="1"/>
    <x v="11"/>
    <x v="2"/>
    <n v="4"/>
    <n v="1599"/>
    <n v="0.1"/>
    <n v="120"/>
    <x v="1"/>
    <x v="1"/>
    <n v="3.5"/>
    <x v="1"/>
    <n v="6396"/>
    <n v="639.6"/>
    <x v="94"/>
  </r>
  <r>
    <x v="97"/>
    <x v="76"/>
    <s v="C004"/>
    <s v="Sneha Sen"/>
    <s v="Female"/>
    <n v="34"/>
    <x v="8"/>
    <s v="Telangana"/>
    <x v="3"/>
    <x v="4"/>
    <x v="4"/>
    <n v="4"/>
    <n v="2899"/>
    <n v="0.1"/>
    <n v="50"/>
    <x v="4"/>
    <x v="0"/>
    <n v="4"/>
    <x v="0"/>
    <n v="11596"/>
    <n v="1159.5999999999999"/>
    <x v="95"/>
  </r>
  <r>
    <x v="98"/>
    <x v="77"/>
    <s v="C012"/>
    <s v="Riya Mukherjee"/>
    <s v="Female"/>
    <n v="22"/>
    <x v="6"/>
    <s v="Gujarat"/>
    <x v="1"/>
    <x v="5"/>
    <x v="4"/>
    <n v="3"/>
    <n v="599"/>
    <n v="0"/>
    <n v="120"/>
    <x v="0"/>
    <x v="0"/>
    <n v="3.5"/>
    <x v="2"/>
    <n v="1797"/>
    <n v="0"/>
    <x v="10"/>
  </r>
  <r>
    <x v="99"/>
    <x v="28"/>
    <s v="C020"/>
    <s v="Nikita Jain"/>
    <s v="Male"/>
    <n v="44"/>
    <x v="0"/>
    <s v="West Bengal"/>
    <x v="0"/>
    <x v="7"/>
    <x v="3"/>
    <n v="3"/>
    <n v="2499"/>
    <n v="0.05"/>
    <n v="100"/>
    <x v="4"/>
    <x v="3"/>
    <n v="3.5"/>
    <x v="2"/>
    <n v="7497"/>
    <n v="374.85"/>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CECCB-A27F-4F36-8E52-1C671DB121DE}"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18:Z35" firstHeaderRow="1" firstDataRow="1" firstDataCol="0"/>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numFmtId="165"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5A4E9A-8F1C-448B-A220-D88FA129CECC}" name="PivotTable1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3:D44" firstHeaderRow="0" firstDataRow="1" firstDataCol="0"/>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dataField="1"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Items count="1">
    <i/>
  </rowItems>
  <colFields count="1">
    <field x="-2"/>
  </colFields>
  <colItems count="4">
    <i>
      <x/>
    </i>
    <i i="1">
      <x v="1"/>
    </i>
    <i i="2">
      <x v="2"/>
    </i>
    <i i="3">
      <x v="3"/>
    </i>
  </colItems>
  <dataFields count="4">
    <dataField name="Sum of Net Revenue" fld="21" baseField="0" baseItem="0" numFmtId="7"/>
    <dataField name="Count of Category" fld="10" subtotal="count" baseField="0" baseItem="0"/>
    <dataField name="Count of Order ID" fld="0" subtotal="count" baseField="0" baseItem="0"/>
    <dataField name="Average of Net Revenue2" fld="21" subtotal="average" baseField="0" baseItem="1" numFmtId="7"/>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50A75-9CD8-4355-B00C-9B1B90A1238C}"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B33" firstHeaderRow="0" firstDataRow="1" firstDataCol="0"/>
  <pivotFields count="23">
    <pivotField dataField="1"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Items count="1">
    <i/>
  </rowItems>
  <colFields count="1">
    <field x="-2"/>
  </colFields>
  <colItems count="2">
    <i>
      <x/>
    </i>
    <i i="1">
      <x v="1"/>
    </i>
  </colItems>
  <dataFields count="2">
    <dataField name="Sum of Net Revenue" fld="21"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28CCC-9A1B-4E27-A141-5039349838CB}" name="PivotTable9"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D78:E82"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axis="axisRow" showAll="0">
      <items count="4">
        <item x="2"/>
        <item x="0"/>
        <item x="1"/>
        <item t="default"/>
      </items>
    </pivotField>
    <pivotField numFmtId="165" showAll="0"/>
    <pivotField numFmtId="165" showAll="0"/>
    <pivotField dataField="1" numFmtId="165" showAll="0"/>
    <pivotField showAll="0" defaultSubtotal="0"/>
  </pivotFields>
  <rowFields count="1">
    <field x="18"/>
  </rowFields>
  <rowItems count="4">
    <i>
      <x/>
    </i>
    <i>
      <x v="1"/>
    </i>
    <i>
      <x v="2"/>
    </i>
    <i t="grand">
      <x/>
    </i>
  </rowItems>
  <colItems count="1">
    <i/>
  </colItems>
  <dataFields count="1">
    <dataField name="Sum of Net Revenue" fld="21" baseField="0"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8" count="1" selected="0">
            <x v="2"/>
          </reference>
        </references>
      </pivotArea>
    </chartFormat>
    <chartFormat chart="7" format="2">
      <pivotArea type="data" outline="0" fieldPosition="0">
        <references count="2">
          <reference field="4294967294" count="1" selected="0">
            <x v="0"/>
          </reference>
          <reference field="18" count="1" selected="0">
            <x v="0"/>
          </reference>
        </references>
      </pivotArea>
    </chartFormat>
    <chartFormat chart="7" format="3">
      <pivotArea type="data" outline="0" fieldPosition="0">
        <references count="2">
          <reference field="4294967294" count="1" selected="0">
            <x v="0"/>
          </reference>
          <reference field="18"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8" count="1" selected="0">
            <x v="0"/>
          </reference>
        </references>
      </pivotArea>
    </chartFormat>
    <chartFormat chart="18" format="10">
      <pivotArea type="data" outline="0" fieldPosition="0">
        <references count="2">
          <reference field="4294967294" count="1" selected="0">
            <x v="0"/>
          </reference>
          <reference field="18" count="1" selected="0">
            <x v="1"/>
          </reference>
        </references>
      </pivotArea>
    </chartFormat>
    <chartFormat chart="18"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9331F-169B-41FB-9912-8209F6C413F7}"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D2:E12" firstHeaderRow="1" firstDataRow="1" firstDataCol="1"/>
  <pivotFields count="2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axis="axisRow" showAll="0">
      <items count="4">
        <item x="0"/>
        <item x="1"/>
        <item x="2"/>
        <item t="default"/>
      </items>
    </pivotField>
  </pivotFields>
  <rowFields count="2">
    <field x="22"/>
    <field x="1"/>
  </rowFields>
  <rowItems count="10">
    <i>
      <x v="1"/>
    </i>
    <i r="1">
      <x v="1"/>
    </i>
    <i r="1">
      <x v="2"/>
    </i>
    <i r="1">
      <x v="3"/>
    </i>
    <i r="1">
      <x v="4"/>
    </i>
    <i r="1">
      <x v="5"/>
    </i>
    <i r="1">
      <x v="6"/>
    </i>
    <i r="1">
      <x v="7"/>
    </i>
    <i r="1">
      <x v="8"/>
    </i>
    <i t="grand">
      <x/>
    </i>
  </rowItems>
  <colItems count="1">
    <i/>
  </colItems>
  <dataFields count="1">
    <dataField name="Sum of Net Revenue" fld="21" baseField="0" baseItem="0"/>
  </dataFields>
  <chartFormats count="2">
    <chartFormat chart="2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6907B7-519C-470F-8EAE-A6827C79F8CA}"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D54:E65"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axis="axisRow" showAll="0" measureFilter="1" sortType="descending">
      <items count="13">
        <item x="6"/>
        <item x="4"/>
        <item x="8"/>
        <item x="11"/>
        <item x="10"/>
        <item x="1"/>
        <item x="2"/>
        <item x="9"/>
        <item x="3"/>
        <item x="5"/>
        <item x="7"/>
        <item x="0"/>
        <item t="default"/>
      </items>
      <autoSortScope>
        <pivotArea dataOnly="0" outline="0" fieldPosition="0">
          <references count="1">
            <reference field="4294967294" count="1" selected="0">
              <x v="0"/>
            </reference>
          </references>
        </pivotArea>
      </autoSortScope>
    </pivotField>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9"/>
  </rowFields>
  <rowItems count="11">
    <i>
      <x v="8"/>
    </i>
    <i>
      <x v="6"/>
    </i>
    <i>
      <x v="1"/>
    </i>
    <i>
      <x v="10"/>
    </i>
    <i>
      <x v="11"/>
    </i>
    <i>
      <x v="3"/>
    </i>
    <i>
      <x/>
    </i>
    <i>
      <x v="5"/>
    </i>
    <i>
      <x v="9"/>
    </i>
    <i>
      <x v="7"/>
    </i>
    <i t="grand">
      <x/>
    </i>
  </rowItems>
  <colItems count="1">
    <i/>
  </colItems>
  <dataFields count="1">
    <dataField name="Sum of Net Revenue" fld="21" baseField="0" baseItem="0"/>
  </dataFields>
  <chartFormats count="2">
    <chartFormat chart="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E1A218-4986-4BC1-AD78-F74D1993107B}"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D35:E40" firstHeaderRow="1" firstDataRow="1" firstDataCol="1"/>
  <pivotFields count="23">
    <pivotField showAll="0"/>
    <pivotField numFmtId="164"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8"/>
  </rowFields>
  <rowItems count="5">
    <i>
      <x/>
    </i>
    <i>
      <x v="1"/>
    </i>
    <i>
      <x v="2"/>
    </i>
    <i>
      <x v="3"/>
    </i>
    <i t="grand">
      <x/>
    </i>
  </rowItems>
  <colItems count="1">
    <i/>
  </colItems>
  <dataFields count="1">
    <dataField name="Sum of Net Revenue" fld="21"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D2D54B-3C92-42B7-9DE7-B8CBBAACF819}"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2:A23" firstHeaderRow="1" firstDataRow="1" firstDataCol="0"/>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numFmtId="165" showAll="0"/>
    <pivotField showAll="0" defaultSubtota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8052E5-91AF-421C-9575-451B7362C8D8}"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20:E27"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0"/>
  </rowFields>
  <rowItems count="7">
    <i>
      <x/>
    </i>
    <i>
      <x v="1"/>
    </i>
    <i>
      <x v="2"/>
    </i>
    <i>
      <x v="3"/>
    </i>
    <i>
      <x v="4"/>
    </i>
    <i>
      <x v="5"/>
    </i>
    <i t="grand">
      <x/>
    </i>
  </rowItems>
  <colItems count="1">
    <i/>
  </colItems>
  <dataFields count="1">
    <dataField name="Sum of Net Revenue" fld="21"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5"/>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0" count="1" selected="0">
            <x v="0"/>
          </reference>
        </references>
      </pivotArea>
    </chartFormat>
    <chartFormat chart="12" format="16">
      <pivotArea type="data" outline="0" fieldPosition="0">
        <references count="2">
          <reference field="4294967294" count="1" selected="0">
            <x v="0"/>
          </reference>
          <reference field="10" count="1" selected="0">
            <x v="1"/>
          </reference>
        </references>
      </pivotArea>
    </chartFormat>
    <chartFormat chart="12" format="17">
      <pivotArea type="data" outline="0" fieldPosition="0">
        <references count="2">
          <reference field="4294967294" count="1" selected="0">
            <x v="0"/>
          </reference>
          <reference field="10" count="1" selected="0">
            <x v="2"/>
          </reference>
        </references>
      </pivotArea>
    </chartFormat>
    <chartFormat chart="12" format="18">
      <pivotArea type="data" outline="0" fieldPosition="0">
        <references count="2">
          <reference field="4294967294" count="1" selected="0">
            <x v="0"/>
          </reference>
          <reference field="10" count="1" selected="0">
            <x v="3"/>
          </reference>
        </references>
      </pivotArea>
    </chartFormat>
    <chartFormat chart="12" format="19">
      <pivotArea type="data" outline="0" fieldPosition="0">
        <references count="2">
          <reference field="4294967294" count="1" selected="0">
            <x v="0"/>
          </reference>
          <reference field="10" count="1" selected="0">
            <x v="4"/>
          </reference>
        </references>
      </pivotArea>
    </chartFormat>
    <chartFormat chart="12"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44206B-807C-4084-BA62-9C25E174AB83}" name="PivotTable10"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S12:T18"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axis="axisRow"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5"/>
  </rowFields>
  <rowItems count="6">
    <i>
      <x/>
    </i>
    <i>
      <x v="1"/>
    </i>
    <i>
      <x v="2"/>
    </i>
    <i>
      <x v="3"/>
    </i>
    <i>
      <x v="4"/>
    </i>
    <i t="grand">
      <x/>
    </i>
  </rowItems>
  <colItems count="1">
    <i/>
  </colItems>
  <dataFields count="1">
    <dataField name="Sum of Net Revenue" fld="21" baseField="0" baseItem="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5" count="1" selected="0">
            <x v="0"/>
          </reference>
        </references>
      </pivotArea>
    </chartFormat>
    <chartFormat chart="6" format="9">
      <pivotArea type="data" outline="0" fieldPosition="0">
        <references count="2">
          <reference field="4294967294" count="1" selected="0">
            <x v="0"/>
          </reference>
          <reference field="15" count="1" selected="0">
            <x v="1"/>
          </reference>
        </references>
      </pivotArea>
    </chartFormat>
    <chartFormat chart="6" format="10">
      <pivotArea type="data" outline="0" fieldPosition="0">
        <references count="2">
          <reference field="4294967294" count="1" selected="0">
            <x v="0"/>
          </reference>
          <reference field="15" count="1" selected="0">
            <x v="2"/>
          </reference>
        </references>
      </pivotArea>
    </chartFormat>
    <chartFormat chart="6" format="11">
      <pivotArea type="data" outline="0" fieldPosition="0">
        <references count="2">
          <reference field="4294967294" count="1" selected="0">
            <x v="0"/>
          </reference>
          <reference field="15" count="1" selected="0">
            <x v="3"/>
          </reference>
        </references>
      </pivotArea>
    </chartFormat>
    <chartFormat chart="6" format="12">
      <pivotArea type="data" outline="0" fieldPosition="0">
        <references count="2">
          <reference field="4294967294" count="1" selected="0">
            <x v="0"/>
          </reference>
          <reference field="15" count="1" selected="0">
            <x v="4"/>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pivotArea type="data" outline="0" fieldPosition="0">
        <references count="2">
          <reference field="4294967294" count="1" selected="0">
            <x v="0"/>
          </reference>
          <reference field="15" count="1" selected="0">
            <x v="4"/>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5" count="1" selected="0">
            <x v="0"/>
          </reference>
        </references>
      </pivotArea>
    </chartFormat>
    <chartFormat chart="18" format="15">
      <pivotArea type="data" outline="0" fieldPosition="0">
        <references count="2">
          <reference field="4294967294" count="1" selected="0">
            <x v="0"/>
          </reference>
          <reference field="15" count="1" selected="0">
            <x v="1"/>
          </reference>
        </references>
      </pivotArea>
    </chartFormat>
    <chartFormat chart="18" format="16">
      <pivotArea type="data" outline="0" fieldPosition="0">
        <references count="2">
          <reference field="4294967294" count="1" selected="0">
            <x v="0"/>
          </reference>
          <reference field="15" count="1" selected="0">
            <x v="2"/>
          </reference>
        </references>
      </pivotArea>
    </chartFormat>
    <chartFormat chart="18" format="17">
      <pivotArea type="data" outline="0" fieldPosition="0">
        <references count="2">
          <reference field="4294967294" count="1" selected="0">
            <x v="0"/>
          </reference>
          <reference field="15" count="1" selected="0">
            <x v="3"/>
          </reference>
        </references>
      </pivotArea>
    </chartFormat>
    <chartFormat chart="18" format="18">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F76E78-AF7E-47D5-A3B0-EFE8C317527F}" name="PivotTable8"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19" firstHeaderRow="0"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dataField="1"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Items count="1">
    <i/>
  </rowItems>
  <colFields count="1">
    <field x="-2"/>
  </colFields>
  <colItems count="2">
    <i>
      <x/>
    </i>
    <i i="1">
      <x v="1"/>
    </i>
  </colItems>
  <dataFields count="2">
    <dataField name="Sum of Quantity" fld="11" baseField="0" baseItem="0" numFmtId="3"/>
    <dataField name="Sum of Net Revenu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283436-4BC6-4511-8EA4-608FC4CB85D6}"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Items count="1">
    <i/>
  </rowItems>
  <colItems count="1">
    <i/>
  </colItems>
  <dataFields count="1">
    <dataField name="Sum of Net Revenue" fld="2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3357B8-70C6-4E39-BDE8-2C07FB092F07}" sourceName="Region">
  <pivotTables>
    <pivotTable tabId="3" name="PivotTable1"/>
    <pivotTable tabId="3" name="PivotTable10"/>
    <pivotTable tabId="3" name="PivotTable2"/>
    <pivotTable tabId="3" name="PivotTable4"/>
    <pivotTable tabId="3" name="PivotTable5"/>
    <pivotTable tabId="3" name="PivotTable7"/>
    <pivotTable tabId="3" name="PivotTable8"/>
    <pivotTable tabId="3" name="PivotTable9"/>
    <pivotTable tabId="1" name="PivotTable1"/>
    <pivotTable tabId="3" name="PivotTable11"/>
    <pivotTable tabId="3" name="PivotTable3"/>
    <pivotTable tabId="3" name="PivotTable6"/>
  </pivotTables>
  <data>
    <tabular pivotCacheId="204330808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57C4C0-FA2F-446D-9B4B-07AF7E979824}" sourceName="Category">
  <pivotTables>
    <pivotTable tabId="3" name="PivotTable1"/>
    <pivotTable tabId="3" name="PivotTable10"/>
    <pivotTable tabId="3" name="PivotTable2"/>
    <pivotTable tabId="3" name="PivotTable4"/>
    <pivotTable tabId="3" name="PivotTable5"/>
    <pivotTable tabId="3" name="PivotTable7"/>
    <pivotTable tabId="3" name="PivotTable8"/>
    <pivotTable tabId="3" name="PivotTable9"/>
    <pivotTable tabId="1" name="PivotTable1"/>
    <pivotTable tabId="3" name="PivotTable11"/>
    <pivotTable tabId="3" name="PivotTable3"/>
    <pivotTable tabId="3" name="PivotTable6"/>
  </pivotTables>
  <data>
    <tabular pivotCacheId="2043308088">
      <items count="6">
        <i x="1" s="1"/>
        <i x="5"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48AC276-3E78-406D-8C87-D34E4254E711}" sourceName="Payment Method">
  <pivotTables>
    <pivotTable tabId="3" name="PivotTable1"/>
    <pivotTable tabId="3" name="PivotTable10"/>
    <pivotTable tabId="3" name="PivotTable2"/>
    <pivotTable tabId="3" name="PivotTable4"/>
    <pivotTable tabId="3" name="PivotTable5"/>
    <pivotTable tabId="3" name="PivotTable7"/>
    <pivotTable tabId="3" name="PivotTable8"/>
    <pivotTable tabId="3" name="PivotTable9"/>
    <pivotTable tabId="1" name="PivotTable1"/>
    <pivotTable tabId="3" name="PivotTable11"/>
    <pivotTable tabId="3" name="PivotTable3"/>
    <pivotTable tabId="3" name="PivotTable6"/>
  </pivotTables>
  <data>
    <tabular pivotCacheId="2043308088">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C4DCCDDF-D4D6-4BA6-AD88-889047C6059E}" sourceName="Order Status">
  <pivotTables>
    <pivotTable tabId="3" name="PivotTable1"/>
    <pivotTable tabId="3" name="PivotTable10"/>
    <pivotTable tabId="3" name="PivotTable2"/>
    <pivotTable tabId="3" name="PivotTable4"/>
    <pivotTable tabId="3" name="PivotTable5"/>
    <pivotTable tabId="3" name="PivotTable7"/>
    <pivotTable tabId="3" name="PivotTable8"/>
    <pivotTable tabId="3" name="PivotTable9"/>
    <pivotTable tabId="1" name="PivotTable1"/>
    <pivotTable tabId="3" name="PivotTable11"/>
    <pivotTable tabId="3" name="PivotTable3"/>
    <pivotTable tabId="3" name="PivotTable6"/>
  </pivotTables>
  <data>
    <tabular pivotCacheId="2043308088">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AA519C5-D255-4C93-BEF3-8C5D8E770486}" sourceName="Customer Segment">
  <pivotTables>
    <pivotTable tabId="3" name="PivotTable1"/>
    <pivotTable tabId="3" name="PivotTable10"/>
    <pivotTable tabId="3" name="PivotTable2"/>
    <pivotTable tabId="3" name="PivotTable4"/>
    <pivotTable tabId="3" name="PivotTable5"/>
    <pivotTable tabId="3" name="PivotTable7"/>
    <pivotTable tabId="3" name="PivotTable8"/>
    <pivotTable tabId="3" name="PivotTable9"/>
    <pivotTable tabId="1" name="PivotTable1"/>
    <pivotTable tabId="3" name="PivotTable11"/>
    <pivotTable tabId="3" name="PivotTable3"/>
    <pivotTable tabId="3" name="PivotTable6"/>
  </pivotTables>
  <data>
    <tabular pivotCacheId="20433080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600200-3800-43CA-A2E8-905A532C9006}" cache="Slicer_Region" caption="Region" rowHeight="234950"/>
  <slicer name="Category" xr10:uid="{899680E4-1B10-4680-8E8E-04CBAF426C44}" cache="Slicer_Category" caption="Category" rowHeight="234950"/>
  <slicer name="Payment Method 1" xr10:uid="{57A6CC3B-E8C7-4A2E-93CD-2CECC8DE254B}" cache="Slicer_Payment_Method1" caption="Payment Method" rowHeight="234950"/>
  <slicer name="Order Status 1" xr10:uid="{4FFCA20B-85C0-4BF6-9BA7-E91D0E55866B}" cache="Slicer_Order_Status1" caption="Order Status" rowHeight="234950"/>
  <slicer name="Customer Segment" xr10:uid="{1559FA3F-2EC6-4A70-A4D0-C14CBD3EF669}" cache="Slicer_Customer_Segment" caption="Customer 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7D2AAB-ABD9-46F7-A7D3-5B3F5E9C20B6}" cache="Slicer_Region" caption="Region" style="SlicerStyleOther2" rowHeight="288000"/>
  <slicer name="Category 1" xr10:uid="{EE65F487-038E-4EFC-A737-8991540A8537}" cache="Slicer_Category" caption="Category" rowHeight="324000"/>
  <slicer name="Payment Method 2" xr10:uid="{7D0E3323-B868-4DAD-AB8E-28BEC0A0D520}" cache="Slicer_Payment_Method1" caption="Payment Method" style="SlicerStyleOther2" rowHeight="324000"/>
  <slicer name="Order Status 2" xr10:uid="{A0B627DB-9983-4A88-A7CF-87E57EC89909}" cache="Slicer_Order_Status1" caption="Order Status" style="SlicerStyleOther2" rowHeight="324000"/>
  <slicer name="Customer Segment 1" xr10:uid="{932120CE-7FEE-4E96-969A-A186F22F2527}" cache="Slicer_Customer_Segment" caption="Customer Segment" style="SlicerStyleOther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0FED5-D1E8-4C25-8FB9-AEBC6B2221F1}" name="SalesData" displayName="SalesData" ref="A1:V101" totalsRowShown="0" headerRowBorderDxfId="10" tableBorderDxfId="9">
  <autoFilter ref="A1:V101" xr:uid="{8330FED5-D1E8-4C25-8FB9-AEBC6B2221F1}"/>
  <tableColumns count="22">
    <tableColumn id="1" xr3:uid="{817EFE80-31E2-404D-A49F-B28ED11DD710}" name="Order ID"/>
    <tableColumn id="2" xr3:uid="{DCBEE980-89FE-4C74-BD7F-D384D03E0439}" name="Order Date" dataDxfId="8"/>
    <tableColumn id="3" xr3:uid="{75ADC500-66F8-4992-BBE3-D583D891E52F}" name="Customer ID"/>
    <tableColumn id="4" xr3:uid="{BC06EDA0-8533-4391-9408-E4AD100AA1A9}" name="Customer Name"/>
    <tableColumn id="5" xr3:uid="{1FA48525-6B1C-4B02-BEDD-047AF9647D8D}" name="Gender"/>
    <tableColumn id="6" xr3:uid="{57673B96-1EBD-49AD-8393-EB0DEE4B4843}" name="Age"/>
    <tableColumn id="7" xr3:uid="{06406FA4-26E3-4172-8CE2-CCC0C51519D0}" name="City"/>
    <tableColumn id="8" xr3:uid="{C6F3D7CD-C630-4883-9EED-66C13CC7EEBB}" name="State"/>
    <tableColumn id="9" xr3:uid="{ED6ABE00-0685-48AD-8976-BA7F9CA156AE}" name="Region"/>
    <tableColumn id="10" xr3:uid="{9E2D2FBB-93C3-46B0-A73C-C1D095B478CC}" name="Product"/>
    <tableColumn id="11" xr3:uid="{BBD80357-D561-4292-816F-8D674FCE2110}" name="Category"/>
    <tableColumn id="12" xr3:uid="{1DBEFAD1-E5FE-4F72-96CF-79350E850CE1}" name="Quantity"/>
    <tableColumn id="13" xr3:uid="{3C01F33B-DDC8-449C-AF78-D91924E1820B}" name="Unit Price" dataDxfId="7"/>
    <tableColumn id="14" xr3:uid="{FB5149F8-1CCF-47D4-B2DA-AAB557F8DE97}" name="Discount" dataDxfId="6"/>
    <tableColumn id="15" xr3:uid="{8D7FA971-830D-4FA3-877B-66C9C8A43FC1}" name="Shipping Cost" dataDxfId="5"/>
    <tableColumn id="16" xr3:uid="{C3AF8725-E8BB-4B48-8CCB-A47E4FF24F91}" name="Payment Method"/>
    <tableColumn id="17" xr3:uid="{B8CAADA5-3223-4EAF-B95F-E3DD7A7F6B75}" name="Order Status"/>
    <tableColumn id="18" xr3:uid="{1E79580C-9E60-4A44-8727-F0583FBD45FE}" name="Rating"/>
    <tableColumn id="19" xr3:uid="{FCDF276A-E4FE-4C6E-A933-E5E475BDEA81}" name="Customer Segment"/>
    <tableColumn id="20" xr3:uid="{A9A641EE-D9F0-4D89-8FFB-AC50F4B392B0}" name="Gross Sales" dataDxfId="4"/>
    <tableColumn id="21" xr3:uid="{CAAD676F-4493-4C7E-868A-BB3876554C5D}" name="Discount Amount" dataDxfId="3"/>
    <tableColumn id="22" xr3:uid="{BDF9E58F-B051-4A23-93A1-D87557BC99DC}" name="Net Revenu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8D73087-778A-4D55-8EA3-E2B899BB34D6}" sourceName="[Orders].[Order Date]">
  <state minimalRefreshVersion="6" lastRefreshVersion="6" pivotCacheId="134808343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807AEB4-56E5-4155-B16B-2CCD8E5E4CDE}" cache="Timeline_Order_Date" caption="Order Date" level="0" selectionLevel="0" scrollPosition="2026-01-01T00:00:00"/>
  <timeline name="Order Date 2" xr10:uid="{A5911B85-81AA-4074-9B11-BB95DEF088F9}" cache="Timeline_Order_Date" caption="Order Date" level="2" selectionLevel="2" scrollPosition="2026-06-05T00:00:00"/>
  <timeline name="Order Date 3" xr10:uid="{ACB7C298-403C-4F4D-BFC5-6117F9BA906B}" cache="Timeline_Order_Date" caption="Order Date" level="1" selectionLevel="1" scrollPosition="2026-01-01T00:00:00"/>
  <timeline name="Order Date 4" xr10:uid="{6BD1B468-2274-45D5-9D1E-67EF553A2F44}" cache="Timeline_Order_Date" caption="Order Date" level="3" selectionLevel="3" scrollPosition="2026-07-26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101"/>
  <sheetViews>
    <sheetView zoomScale="56" workbookViewId="0">
      <selection activeCell="Y16" sqref="Y16"/>
    </sheetView>
  </sheetViews>
  <sheetFormatPr defaultRowHeight="13.8" x14ac:dyDescent="0.25"/>
  <cols>
    <col min="1" max="1" width="9.796875" customWidth="1"/>
    <col min="2" max="2" width="18" customWidth="1"/>
    <col min="3" max="3" width="13.09765625" customWidth="1"/>
    <col min="4" max="4" width="16.3984375" customWidth="1"/>
    <col min="5" max="5" width="8.8984375" customWidth="1"/>
    <col min="8" max="8" width="11.3984375" customWidth="1"/>
    <col min="10" max="10" width="18.59765625" customWidth="1"/>
    <col min="11" max="11" width="10.3984375" customWidth="1"/>
    <col min="12" max="12" width="10.09765625" customWidth="1"/>
    <col min="13" max="13" width="10.8984375" customWidth="1"/>
    <col min="14" max="14" width="10.09765625" customWidth="1"/>
    <col min="15" max="15" width="14.296875" customWidth="1"/>
    <col min="16" max="16" width="17.59765625" customWidth="1"/>
    <col min="17" max="17" width="13.296875" customWidth="1"/>
    <col min="19" max="19" width="18.796875" customWidth="1"/>
    <col min="20" max="20" width="12" customWidth="1"/>
    <col min="21" max="21" width="17.5" customWidth="1"/>
    <col min="22" max="22" width="13.59765625" customWidth="1"/>
  </cols>
  <sheetData>
    <row r="1" spans="1:22" ht="14.4" x14ac:dyDescent="0.3">
      <c r="A1" s="7" t="s">
        <v>0</v>
      </c>
      <c r="B1" s="8" t="s">
        <v>1</v>
      </c>
      <c r="C1" s="7" t="s">
        <v>2</v>
      </c>
      <c r="D1" s="7" t="s">
        <v>3</v>
      </c>
      <c r="E1" s="7" t="s">
        <v>4</v>
      </c>
      <c r="F1" s="7" t="s">
        <v>5</v>
      </c>
      <c r="G1" s="7" t="s">
        <v>6</v>
      </c>
      <c r="H1" s="7" t="s">
        <v>7</v>
      </c>
      <c r="I1" s="7" t="s">
        <v>8</v>
      </c>
      <c r="J1" s="7" t="s">
        <v>9</v>
      </c>
      <c r="K1" s="7" t="s">
        <v>10</v>
      </c>
      <c r="L1" s="7" t="s">
        <v>11</v>
      </c>
      <c r="M1" s="9" t="s">
        <v>12</v>
      </c>
      <c r="N1" s="10" t="s">
        <v>13</v>
      </c>
      <c r="O1" s="11" t="s">
        <v>14</v>
      </c>
      <c r="P1" s="7" t="s">
        <v>15</v>
      </c>
      <c r="Q1" s="7" t="s">
        <v>16</v>
      </c>
      <c r="R1" s="7" t="s">
        <v>17</v>
      </c>
      <c r="S1" s="7" t="s">
        <v>18</v>
      </c>
      <c r="T1" s="11" t="s">
        <v>19</v>
      </c>
      <c r="U1" s="9" t="s">
        <v>20</v>
      </c>
      <c r="V1" s="12" t="s">
        <v>21</v>
      </c>
    </row>
    <row r="2" spans="1:22" x14ac:dyDescent="0.25">
      <c r="A2" t="s">
        <v>22</v>
      </c>
      <c r="B2" s="2">
        <v>46080</v>
      </c>
      <c r="C2" t="s">
        <v>23</v>
      </c>
      <c r="D2" t="s">
        <v>24</v>
      </c>
      <c r="E2" t="s">
        <v>25</v>
      </c>
      <c r="F2">
        <v>38</v>
      </c>
      <c r="G2" t="s">
        <v>26</v>
      </c>
      <c r="H2" t="s">
        <v>27</v>
      </c>
      <c r="I2" t="s">
        <v>28</v>
      </c>
      <c r="J2" t="s">
        <v>29</v>
      </c>
      <c r="K2" t="s">
        <v>30</v>
      </c>
      <c r="L2">
        <v>3</v>
      </c>
      <c r="M2" s="4">
        <v>899</v>
      </c>
      <c r="N2" s="3">
        <v>0.05</v>
      </c>
      <c r="O2" s="5">
        <v>80</v>
      </c>
      <c r="P2" t="s">
        <v>31</v>
      </c>
      <c r="Q2" t="s">
        <v>32</v>
      </c>
      <c r="R2">
        <v>3</v>
      </c>
      <c r="S2" t="s">
        <v>33</v>
      </c>
      <c r="T2" s="5">
        <v>2697</v>
      </c>
      <c r="U2" s="5">
        <v>134.85</v>
      </c>
      <c r="V2" s="6">
        <v>2642.15</v>
      </c>
    </row>
    <row r="3" spans="1:22" x14ac:dyDescent="0.25">
      <c r="A3" t="s">
        <v>34</v>
      </c>
      <c r="B3" s="2">
        <v>46073</v>
      </c>
      <c r="C3" t="s">
        <v>35</v>
      </c>
      <c r="D3" t="s">
        <v>36</v>
      </c>
      <c r="E3" t="s">
        <v>37</v>
      </c>
      <c r="F3">
        <v>27</v>
      </c>
      <c r="G3" t="s">
        <v>38</v>
      </c>
      <c r="H3" t="s">
        <v>39</v>
      </c>
      <c r="I3" t="s">
        <v>40</v>
      </c>
      <c r="J3" t="s">
        <v>41</v>
      </c>
      <c r="K3" t="s">
        <v>42</v>
      </c>
      <c r="L3">
        <v>1</v>
      </c>
      <c r="M3" s="4">
        <v>1299</v>
      </c>
      <c r="N3" s="3">
        <v>0.2</v>
      </c>
      <c r="O3" s="5">
        <v>80</v>
      </c>
      <c r="P3" t="s">
        <v>43</v>
      </c>
      <c r="Q3" t="s">
        <v>32</v>
      </c>
      <c r="R3">
        <v>5</v>
      </c>
      <c r="S3" t="s">
        <v>44</v>
      </c>
      <c r="T3" s="5">
        <v>1299</v>
      </c>
      <c r="U3" s="5">
        <v>259.8</v>
      </c>
      <c r="V3" s="6">
        <v>1119.2</v>
      </c>
    </row>
    <row r="4" spans="1:22" x14ac:dyDescent="0.25">
      <c r="A4" t="s">
        <v>45</v>
      </c>
      <c r="B4" s="2">
        <v>46094</v>
      </c>
      <c r="C4" t="s">
        <v>46</v>
      </c>
      <c r="D4" t="s">
        <v>47</v>
      </c>
      <c r="E4" t="s">
        <v>25</v>
      </c>
      <c r="F4">
        <v>22</v>
      </c>
      <c r="G4" t="s">
        <v>48</v>
      </c>
      <c r="H4" t="s">
        <v>39</v>
      </c>
      <c r="I4" t="s">
        <v>40</v>
      </c>
      <c r="J4" t="s">
        <v>29</v>
      </c>
      <c r="K4" t="s">
        <v>30</v>
      </c>
      <c r="L4">
        <v>4</v>
      </c>
      <c r="M4" s="4">
        <v>899</v>
      </c>
      <c r="N4" s="3">
        <v>0.1</v>
      </c>
      <c r="O4" s="5">
        <v>80</v>
      </c>
      <c r="P4" t="s">
        <v>49</v>
      </c>
      <c r="Q4" t="s">
        <v>32</v>
      </c>
      <c r="R4">
        <v>3</v>
      </c>
      <c r="S4" t="s">
        <v>44</v>
      </c>
      <c r="T4" s="5">
        <v>3596</v>
      </c>
      <c r="U4" s="5">
        <v>359.6</v>
      </c>
      <c r="V4" s="6">
        <v>3316.4</v>
      </c>
    </row>
    <row r="5" spans="1:22" x14ac:dyDescent="0.25">
      <c r="A5" t="s">
        <v>50</v>
      </c>
      <c r="B5" s="2">
        <v>46160</v>
      </c>
      <c r="C5" t="s">
        <v>51</v>
      </c>
      <c r="D5" t="s">
        <v>52</v>
      </c>
      <c r="E5" t="s">
        <v>25</v>
      </c>
      <c r="F5">
        <v>37</v>
      </c>
      <c r="G5" t="s">
        <v>53</v>
      </c>
      <c r="H5" t="s">
        <v>54</v>
      </c>
      <c r="I5" t="s">
        <v>55</v>
      </c>
      <c r="J5" t="s">
        <v>56</v>
      </c>
      <c r="K5" t="s">
        <v>57</v>
      </c>
      <c r="L5">
        <v>1</v>
      </c>
      <c r="M5" s="4">
        <v>2199</v>
      </c>
      <c r="N5" s="3">
        <v>0.15</v>
      </c>
      <c r="O5" s="5">
        <v>60</v>
      </c>
      <c r="P5" t="s">
        <v>58</v>
      </c>
      <c r="Q5" t="s">
        <v>32</v>
      </c>
      <c r="R5">
        <v>5</v>
      </c>
      <c r="S5" t="s">
        <v>44</v>
      </c>
      <c r="T5" s="5">
        <v>2199</v>
      </c>
      <c r="U5" s="5">
        <v>329.85</v>
      </c>
      <c r="V5" s="6">
        <v>1929.15</v>
      </c>
    </row>
    <row r="6" spans="1:22" x14ac:dyDescent="0.25">
      <c r="A6" t="s">
        <v>59</v>
      </c>
      <c r="B6" s="2">
        <v>46192</v>
      </c>
      <c r="C6" t="s">
        <v>60</v>
      </c>
      <c r="D6" t="s">
        <v>61</v>
      </c>
      <c r="E6" t="s">
        <v>25</v>
      </c>
      <c r="F6">
        <v>27</v>
      </c>
      <c r="G6" t="s">
        <v>38</v>
      </c>
      <c r="H6" t="s">
        <v>39</v>
      </c>
      <c r="I6" t="s">
        <v>40</v>
      </c>
      <c r="J6" t="s">
        <v>29</v>
      </c>
      <c r="K6" t="s">
        <v>30</v>
      </c>
      <c r="L6">
        <v>1</v>
      </c>
      <c r="M6" s="4">
        <v>899</v>
      </c>
      <c r="N6" s="3">
        <v>0</v>
      </c>
      <c r="O6" s="5">
        <v>40</v>
      </c>
      <c r="P6" t="s">
        <v>49</v>
      </c>
      <c r="Q6" t="s">
        <v>32</v>
      </c>
      <c r="R6">
        <v>4.5</v>
      </c>
      <c r="S6" t="s">
        <v>44</v>
      </c>
      <c r="T6" s="5">
        <v>899</v>
      </c>
      <c r="U6" s="5">
        <v>0</v>
      </c>
      <c r="V6" s="6">
        <v>939</v>
      </c>
    </row>
    <row r="7" spans="1:22" x14ac:dyDescent="0.25">
      <c r="A7" t="s">
        <v>62</v>
      </c>
      <c r="B7" s="2">
        <v>46076</v>
      </c>
      <c r="C7" t="s">
        <v>63</v>
      </c>
      <c r="D7" t="s">
        <v>64</v>
      </c>
      <c r="E7" t="s">
        <v>25</v>
      </c>
      <c r="F7">
        <v>37</v>
      </c>
      <c r="G7" t="s">
        <v>65</v>
      </c>
      <c r="H7" t="s">
        <v>66</v>
      </c>
      <c r="I7" t="s">
        <v>67</v>
      </c>
      <c r="J7" t="s">
        <v>68</v>
      </c>
      <c r="K7" t="s">
        <v>69</v>
      </c>
      <c r="L7">
        <v>3</v>
      </c>
      <c r="M7" s="4">
        <v>3299</v>
      </c>
      <c r="N7" s="3">
        <v>0.1</v>
      </c>
      <c r="O7" s="5">
        <v>120</v>
      </c>
      <c r="P7" t="s">
        <v>31</v>
      </c>
      <c r="Q7" t="s">
        <v>32</v>
      </c>
      <c r="R7">
        <v>3.5</v>
      </c>
      <c r="S7" t="s">
        <v>33</v>
      </c>
      <c r="T7" s="5">
        <v>9897</v>
      </c>
      <c r="U7" s="5">
        <v>989.7</v>
      </c>
      <c r="V7" s="6">
        <v>9027.2999999999993</v>
      </c>
    </row>
    <row r="8" spans="1:22" x14ac:dyDescent="0.25">
      <c r="A8" t="s">
        <v>70</v>
      </c>
      <c r="B8" s="2">
        <v>46238</v>
      </c>
      <c r="C8" t="s">
        <v>63</v>
      </c>
      <c r="D8" t="s">
        <v>64</v>
      </c>
      <c r="E8" t="s">
        <v>25</v>
      </c>
      <c r="F8">
        <v>21</v>
      </c>
      <c r="G8" t="s">
        <v>71</v>
      </c>
      <c r="H8" t="s">
        <v>72</v>
      </c>
      <c r="I8" t="s">
        <v>67</v>
      </c>
      <c r="J8" t="s">
        <v>56</v>
      </c>
      <c r="K8" t="s">
        <v>57</v>
      </c>
      <c r="L8">
        <v>2</v>
      </c>
      <c r="M8" s="4">
        <v>2199</v>
      </c>
      <c r="N8" s="3">
        <v>0.1</v>
      </c>
      <c r="O8" s="5">
        <v>60</v>
      </c>
      <c r="P8" t="s">
        <v>31</v>
      </c>
      <c r="Q8" t="s">
        <v>32</v>
      </c>
      <c r="R8">
        <v>4.5</v>
      </c>
      <c r="S8" t="s">
        <v>44</v>
      </c>
      <c r="T8" s="5">
        <v>4398</v>
      </c>
      <c r="U8" s="5">
        <v>439.8</v>
      </c>
      <c r="V8" s="6">
        <v>4018.2</v>
      </c>
    </row>
    <row r="9" spans="1:22" x14ac:dyDescent="0.25">
      <c r="A9" t="s">
        <v>73</v>
      </c>
      <c r="B9" s="2">
        <v>46190</v>
      </c>
      <c r="C9" t="s">
        <v>35</v>
      </c>
      <c r="D9" t="s">
        <v>36</v>
      </c>
      <c r="E9" t="s">
        <v>25</v>
      </c>
      <c r="F9">
        <v>28</v>
      </c>
      <c r="G9" t="s">
        <v>38</v>
      </c>
      <c r="H9" t="s">
        <v>39</v>
      </c>
      <c r="I9" t="s">
        <v>40</v>
      </c>
      <c r="J9" t="s">
        <v>74</v>
      </c>
      <c r="K9" t="s">
        <v>75</v>
      </c>
      <c r="L9">
        <v>3</v>
      </c>
      <c r="M9" s="4">
        <v>2899</v>
      </c>
      <c r="N9" s="3">
        <v>0.05</v>
      </c>
      <c r="O9" s="5">
        <v>50</v>
      </c>
      <c r="P9" t="s">
        <v>58</v>
      </c>
      <c r="Q9" t="s">
        <v>32</v>
      </c>
      <c r="R9">
        <v>3.5</v>
      </c>
      <c r="S9" t="s">
        <v>76</v>
      </c>
      <c r="T9" s="5">
        <v>8697</v>
      </c>
      <c r="U9" s="5">
        <v>434.85</v>
      </c>
      <c r="V9" s="6">
        <v>8312.15</v>
      </c>
    </row>
    <row r="10" spans="1:22" x14ac:dyDescent="0.25">
      <c r="A10" t="s">
        <v>77</v>
      </c>
      <c r="B10" s="2">
        <v>46125</v>
      </c>
      <c r="C10" t="s">
        <v>78</v>
      </c>
      <c r="D10" t="s">
        <v>79</v>
      </c>
      <c r="E10" t="s">
        <v>37</v>
      </c>
      <c r="F10">
        <v>22</v>
      </c>
      <c r="G10" t="s">
        <v>80</v>
      </c>
      <c r="H10" t="s">
        <v>81</v>
      </c>
      <c r="I10" t="s">
        <v>40</v>
      </c>
      <c r="J10" t="s">
        <v>56</v>
      </c>
      <c r="K10" t="s">
        <v>57</v>
      </c>
      <c r="L10">
        <v>4</v>
      </c>
      <c r="M10" s="4">
        <v>2199</v>
      </c>
      <c r="N10" s="3">
        <v>0.2</v>
      </c>
      <c r="O10" s="5">
        <v>40</v>
      </c>
      <c r="P10" t="s">
        <v>82</v>
      </c>
      <c r="Q10" t="s">
        <v>32</v>
      </c>
      <c r="R10">
        <v>3</v>
      </c>
      <c r="S10" t="s">
        <v>33</v>
      </c>
      <c r="T10" s="5">
        <v>8796</v>
      </c>
      <c r="U10" s="5">
        <v>1759.2</v>
      </c>
      <c r="V10" s="6">
        <v>7076.8</v>
      </c>
    </row>
    <row r="11" spans="1:22" x14ac:dyDescent="0.25">
      <c r="A11" t="s">
        <v>83</v>
      </c>
      <c r="B11" s="2">
        <v>46120</v>
      </c>
      <c r="C11" t="s">
        <v>84</v>
      </c>
      <c r="D11" t="s">
        <v>85</v>
      </c>
      <c r="E11" t="s">
        <v>37</v>
      </c>
      <c r="F11">
        <v>37</v>
      </c>
      <c r="G11" t="s">
        <v>71</v>
      </c>
      <c r="H11" t="s">
        <v>72</v>
      </c>
      <c r="I11" t="s">
        <v>67</v>
      </c>
      <c r="J11" t="s">
        <v>74</v>
      </c>
      <c r="K11" t="s">
        <v>75</v>
      </c>
      <c r="L11">
        <v>1</v>
      </c>
      <c r="M11" s="4">
        <v>2899</v>
      </c>
      <c r="N11" s="3">
        <v>0.15</v>
      </c>
      <c r="O11" s="5">
        <v>40</v>
      </c>
      <c r="P11" t="s">
        <v>58</v>
      </c>
      <c r="Q11" t="s">
        <v>32</v>
      </c>
      <c r="R11">
        <v>3</v>
      </c>
      <c r="S11" t="s">
        <v>76</v>
      </c>
      <c r="T11" s="5">
        <v>2899</v>
      </c>
      <c r="U11" s="5">
        <v>434.85</v>
      </c>
      <c r="V11" s="6">
        <v>2504.15</v>
      </c>
    </row>
    <row r="12" spans="1:22" x14ac:dyDescent="0.25">
      <c r="A12" t="s">
        <v>86</v>
      </c>
      <c r="B12" s="2">
        <v>46098</v>
      </c>
      <c r="C12" t="s">
        <v>78</v>
      </c>
      <c r="D12" t="s">
        <v>79</v>
      </c>
      <c r="E12" t="s">
        <v>25</v>
      </c>
      <c r="F12">
        <v>43</v>
      </c>
      <c r="G12" t="s">
        <v>87</v>
      </c>
      <c r="H12" t="s">
        <v>87</v>
      </c>
      <c r="I12" t="s">
        <v>55</v>
      </c>
      <c r="J12" t="s">
        <v>88</v>
      </c>
      <c r="K12" t="s">
        <v>75</v>
      </c>
      <c r="L12">
        <v>3</v>
      </c>
      <c r="M12" s="4">
        <v>599</v>
      </c>
      <c r="N12" s="3">
        <v>0</v>
      </c>
      <c r="O12" s="5">
        <v>120</v>
      </c>
      <c r="P12" t="s">
        <v>58</v>
      </c>
      <c r="Q12" t="s">
        <v>32</v>
      </c>
      <c r="R12">
        <v>4</v>
      </c>
      <c r="S12" t="s">
        <v>76</v>
      </c>
      <c r="T12" s="5">
        <v>1797</v>
      </c>
      <c r="U12" s="5">
        <v>0</v>
      </c>
      <c r="V12" s="6">
        <v>1917</v>
      </c>
    </row>
    <row r="13" spans="1:22" x14ac:dyDescent="0.25">
      <c r="A13" t="s">
        <v>89</v>
      </c>
      <c r="B13" s="2">
        <v>46178</v>
      </c>
      <c r="C13" t="s">
        <v>84</v>
      </c>
      <c r="D13" t="s">
        <v>85</v>
      </c>
      <c r="E13" t="s">
        <v>25</v>
      </c>
      <c r="F13">
        <v>37</v>
      </c>
      <c r="G13" t="s">
        <v>80</v>
      </c>
      <c r="H13" t="s">
        <v>81</v>
      </c>
      <c r="I13" t="s">
        <v>40</v>
      </c>
      <c r="J13" t="s">
        <v>90</v>
      </c>
      <c r="K13" t="s">
        <v>69</v>
      </c>
      <c r="L13">
        <v>3</v>
      </c>
      <c r="M13" s="4">
        <v>1799</v>
      </c>
      <c r="N13" s="3">
        <v>0.2</v>
      </c>
      <c r="O13" s="5">
        <v>100</v>
      </c>
      <c r="P13" t="s">
        <v>49</v>
      </c>
      <c r="Q13" t="s">
        <v>32</v>
      </c>
      <c r="R13">
        <v>3</v>
      </c>
      <c r="S13" t="s">
        <v>76</v>
      </c>
      <c r="T13" s="5">
        <v>5397</v>
      </c>
      <c r="U13" s="5">
        <v>1079.4000000000001</v>
      </c>
      <c r="V13" s="6">
        <v>4417.6000000000004</v>
      </c>
    </row>
    <row r="14" spans="1:22" x14ac:dyDescent="0.25">
      <c r="A14" t="s">
        <v>91</v>
      </c>
      <c r="B14" s="2">
        <v>46247</v>
      </c>
      <c r="C14" t="s">
        <v>92</v>
      </c>
      <c r="D14" t="s">
        <v>93</v>
      </c>
      <c r="E14" t="s">
        <v>25</v>
      </c>
      <c r="F14">
        <v>21</v>
      </c>
      <c r="G14" t="s">
        <v>94</v>
      </c>
      <c r="H14" t="s">
        <v>95</v>
      </c>
      <c r="I14" t="s">
        <v>67</v>
      </c>
      <c r="J14" t="s">
        <v>96</v>
      </c>
      <c r="K14" t="s">
        <v>69</v>
      </c>
      <c r="L14">
        <v>1</v>
      </c>
      <c r="M14" s="4">
        <v>2499</v>
      </c>
      <c r="N14" s="3">
        <v>0.1</v>
      </c>
      <c r="O14" s="5">
        <v>50</v>
      </c>
      <c r="P14" t="s">
        <v>49</v>
      </c>
      <c r="Q14" t="s">
        <v>97</v>
      </c>
      <c r="R14">
        <v>5</v>
      </c>
      <c r="S14" t="s">
        <v>33</v>
      </c>
      <c r="T14" s="5">
        <v>2499</v>
      </c>
      <c r="U14" s="5">
        <v>249.9</v>
      </c>
      <c r="V14" s="6">
        <v>2299.1</v>
      </c>
    </row>
    <row r="15" spans="1:22" x14ac:dyDescent="0.25">
      <c r="A15" t="s">
        <v>98</v>
      </c>
      <c r="B15" s="2">
        <v>46191</v>
      </c>
      <c r="C15" t="s">
        <v>35</v>
      </c>
      <c r="D15" t="s">
        <v>36</v>
      </c>
      <c r="E15" t="s">
        <v>25</v>
      </c>
      <c r="F15">
        <v>28</v>
      </c>
      <c r="G15" t="s">
        <v>94</v>
      </c>
      <c r="H15" t="s">
        <v>95</v>
      </c>
      <c r="I15" t="s">
        <v>67</v>
      </c>
      <c r="J15" t="s">
        <v>90</v>
      </c>
      <c r="K15" t="s">
        <v>69</v>
      </c>
      <c r="L15">
        <v>2</v>
      </c>
      <c r="M15" s="4">
        <v>1799</v>
      </c>
      <c r="N15" s="3">
        <v>0.05</v>
      </c>
      <c r="O15" s="5">
        <v>100</v>
      </c>
      <c r="P15" t="s">
        <v>43</v>
      </c>
      <c r="Q15" t="s">
        <v>32</v>
      </c>
      <c r="R15">
        <v>5</v>
      </c>
      <c r="S15" t="s">
        <v>44</v>
      </c>
      <c r="T15" s="5">
        <v>3598</v>
      </c>
      <c r="U15" s="5">
        <v>179.9</v>
      </c>
      <c r="V15" s="6">
        <v>3518.1</v>
      </c>
    </row>
    <row r="16" spans="1:22" x14ac:dyDescent="0.25">
      <c r="A16" t="s">
        <v>99</v>
      </c>
      <c r="B16" s="2">
        <v>46125</v>
      </c>
      <c r="C16" t="s">
        <v>100</v>
      </c>
      <c r="D16" t="s">
        <v>101</v>
      </c>
      <c r="E16" t="s">
        <v>37</v>
      </c>
      <c r="F16">
        <v>36</v>
      </c>
      <c r="G16" t="s">
        <v>80</v>
      </c>
      <c r="H16" t="s">
        <v>81</v>
      </c>
      <c r="I16" t="s">
        <v>40</v>
      </c>
      <c r="J16" t="s">
        <v>29</v>
      </c>
      <c r="K16" t="s">
        <v>30</v>
      </c>
      <c r="L16">
        <v>2</v>
      </c>
      <c r="M16" s="4">
        <v>899</v>
      </c>
      <c r="N16" s="3">
        <v>0.1</v>
      </c>
      <c r="O16" s="5">
        <v>80</v>
      </c>
      <c r="P16" t="s">
        <v>49</v>
      </c>
      <c r="Q16" t="s">
        <v>97</v>
      </c>
      <c r="R16">
        <v>3</v>
      </c>
      <c r="S16" t="s">
        <v>33</v>
      </c>
      <c r="T16" s="5">
        <v>1798</v>
      </c>
      <c r="U16" s="5">
        <v>179.8</v>
      </c>
      <c r="V16" s="6">
        <v>1698.2</v>
      </c>
    </row>
    <row r="17" spans="1:26" x14ac:dyDescent="0.25">
      <c r="A17" t="s">
        <v>102</v>
      </c>
      <c r="B17" s="2">
        <v>46164</v>
      </c>
      <c r="C17" t="s">
        <v>103</v>
      </c>
      <c r="D17" t="s">
        <v>104</v>
      </c>
      <c r="E17" t="s">
        <v>25</v>
      </c>
      <c r="F17">
        <v>22</v>
      </c>
      <c r="G17" t="s">
        <v>105</v>
      </c>
      <c r="H17" t="s">
        <v>27</v>
      </c>
      <c r="I17" t="s">
        <v>28</v>
      </c>
      <c r="J17" t="s">
        <v>106</v>
      </c>
      <c r="K17" t="s">
        <v>57</v>
      </c>
      <c r="L17">
        <v>1</v>
      </c>
      <c r="M17" s="4">
        <v>699</v>
      </c>
      <c r="N17" s="3">
        <v>0.2</v>
      </c>
      <c r="O17" s="5">
        <v>120</v>
      </c>
      <c r="P17" t="s">
        <v>82</v>
      </c>
      <c r="Q17" t="s">
        <v>32</v>
      </c>
      <c r="R17">
        <v>3</v>
      </c>
      <c r="S17" t="s">
        <v>33</v>
      </c>
      <c r="T17" s="5">
        <v>699</v>
      </c>
      <c r="U17" s="5">
        <v>139.80000000000001</v>
      </c>
      <c r="V17" s="6">
        <v>679.2</v>
      </c>
    </row>
    <row r="18" spans="1:26" x14ac:dyDescent="0.25">
      <c r="A18" t="s">
        <v>107</v>
      </c>
      <c r="B18" s="2">
        <v>46083</v>
      </c>
      <c r="C18" t="s">
        <v>35</v>
      </c>
      <c r="D18" t="s">
        <v>36</v>
      </c>
      <c r="E18" t="s">
        <v>25</v>
      </c>
      <c r="F18">
        <v>37</v>
      </c>
      <c r="G18" t="s">
        <v>26</v>
      </c>
      <c r="H18" t="s">
        <v>27</v>
      </c>
      <c r="I18" t="s">
        <v>28</v>
      </c>
      <c r="J18" t="s">
        <v>106</v>
      </c>
      <c r="K18" t="s">
        <v>57</v>
      </c>
      <c r="L18">
        <v>1</v>
      </c>
      <c r="M18" s="4">
        <v>699</v>
      </c>
      <c r="N18" s="3">
        <v>0.2</v>
      </c>
      <c r="O18" s="5">
        <v>50</v>
      </c>
      <c r="P18" t="s">
        <v>58</v>
      </c>
      <c r="Q18" t="s">
        <v>32</v>
      </c>
      <c r="R18">
        <v>5</v>
      </c>
      <c r="S18" t="s">
        <v>76</v>
      </c>
      <c r="T18" s="5">
        <v>699</v>
      </c>
      <c r="U18" s="5">
        <v>139.80000000000001</v>
      </c>
      <c r="V18" s="6">
        <v>609.20000000000005</v>
      </c>
      <c r="X18" s="22"/>
      <c r="Y18" s="23"/>
      <c r="Z18" s="24"/>
    </row>
    <row r="19" spans="1:26" x14ac:dyDescent="0.25">
      <c r="A19" t="s">
        <v>108</v>
      </c>
      <c r="B19" s="2">
        <v>46047</v>
      </c>
      <c r="C19" t="s">
        <v>109</v>
      </c>
      <c r="D19" t="s">
        <v>110</v>
      </c>
      <c r="E19" t="s">
        <v>37</v>
      </c>
      <c r="F19">
        <v>33</v>
      </c>
      <c r="G19" t="s">
        <v>38</v>
      </c>
      <c r="H19" t="s">
        <v>39</v>
      </c>
      <c r="I19" t="s">
        <v>40</v>
      </c>
      <c r="J19" t="s">
        <v>111</v>
      </c>
      <c r="K19" t="s">
        <v>112</v>
      </c>
      <c r="L19">
        <v>4</v>
      </c>
      <c r="M19" s="4">
        <v>999</v>
      </c>
      <c r="N19" s="3">
        <v>0.05</v>
      </c>
      <c r="O19" s="5">
        <v>80</v>
      </c>
      <c r="P19" t="s">
        <v>58</v>
      </c>
      <c r="Q19" t="s">
        <v>32</v>
      </c>
      <c r="R19">
        <v>4.5</v>
      </c>
      <c r="S19" t="s">
        <v>76</v>
      </c>
      <c r="T19" s="5">
        <v>3996</v>
      </c>
      <c r="U19" s="5">
        <v>199.8</v>
      </c>
      <c r="V19" s="6">
        <v>3876.2</v>
      </c>
      <c r="X19" s="25"/>
      <c r="Y19" s="26"/>
      <c r="Z19" s="27"/>
    </row>
    <row r="20" spans="1:26" x14ac:dyDescent="0.25">
      <c r="A20" t="s">
        <v>113</v>
      </c>
      <c r="B20" s="2">
        <v>46227</v>
      </c>
      <c r="C20" t="s">
        <v>114</v>
      </c>
      <c r="D20" t="s">
        <v>115</v>
      </c>
      <c r="E20" t="s">
        <v>25</v>
      </c>
      <c r="F20">
        <v>26</v>
      </c>
      <c r="G20" t="s">
        <v>105</v>
      </c>
      <c r="H20" t="s">
        <v>27</v>
      </c>
      <c r="I20" t="s">
        <v>28</v>
      </c>
      <c r="J20" t="s">
        <v>96</v>
      </c>
      <c r="K20" t="s">
        <v>69</v>
      </c>
      <c r="L20">
        <v>4</v>
      </c>
      <c r="M20" s="4">
        <v>2499</v>
      </c>
      <c r="N20" s="3">
        <v>0.1</v>
      </c>
      <c r="O20" s="5">
        <v>100</v>
      </c>
      <c r="P20" t="s">
        <v>82</v>
      </c>
      <c r="Q20" t="s">
        <v>116</v>
      </c>
      <c r="R20">
        <v>4.5</v>
      </c>
      <c r="S20" t="s">
        <v>33</v>
      </c>
      <c r="T20" s="5">
        <v>9996</v>
      </c>
      <c r="U20" s="5">
        <v>999.6</v>
      </c>
      <c r="V20" s="6">
        <v>9096.4</v>
      </c>
      <c r="X20" s="25"/>
      <c r="Y20" s="26"/>
      <c r="Z20" s="27"/>
    </row>
    <row r="21" spans="1:26" x14ac:dyDescent="0.25">
      <c r="A21" t="s">
        <v>117</v>
      </c>
      <c r="B21" s="2">
        <v>46246</v>
      </c>
      <c r="C21" t="s">
        <v>118</v>
      </c>
      <c r="D21" t="s">
        <v>119</v>
      </c>
      <c r="E21" t="s">
        <v>25</v>
      </c>
      <c r="F21">
        <v>21</v>
      </c>
      <c r="G21" t="s">
        <v>48</v>
      </c>
      <c r="H21" t="s">
        <v>39</v>
      </c>
      <c r="I21" t="s">
        <v>40</v>
      </c>
      <c r="J21" t="s">
        <v>56</v>
      </c>
      <c r="K21" t="s">
        <v>57</v>
      </c>
      <c r="L21">
        <v>4</v>
      </c>
      <c r="M21" s="4">
        <v>2199</v>
      </c>
      <c r="N21" s="3">
        <v>0.05</v>
      </c>
      <c r="O21" s="5">
        <v>120</v>
      </c>
      <c r="P21" t="s">
        <v>58</v>
      </c>
      <c r="Q21" t="s">
        <v>116</v>
      </c>
      <c r="R21">
        <v>5</v>
      </c>
      <c r="S21" t="s">
        <v>33</v>
      </c>
      <c r="T21" s="5">
        <v>8796</v>
      </c>
      <c r="U21" s="5">
        <v>439.8</v>
      </c>
      <c r="V21" s="6">
        <v>8476.2000000000007</v>
      </c>
      <c r="X21" s="25"/>
      <c r="Y21" s="26"/>
      <c r="Z21" s="27"/>
    </row>
    <row r="22" spans="1:26" x14ac:dyDescent="0.25">
      <c r="A22" t="s">
        <v>120</v>
      </c>
      <c r="B22" s="2">
        <v>46146</v>
      </c>
      <c r="C22" t="s">
        <v>35</v>
      </c>
      <c r="D22" t="s">
        <v>36</v>
      </c>
      <c r="E22" t="s">
        <v>25</v>
      </c>
      <c r="F22">
        <v>25</v>
      </c>
      <c r="G22" t="s">
        <v>38</v>
      </c>
      <c r="H22" t="s">
        <v>39</v>
      </c>
      <c r="I22" t="s">
        <v>40</v>
      </c>
      <c r="J22" t="s">
        <v>68</v>
      </c>
      <c r="K22" t="s">
        <v>69</v>
      </c>
      <c r="L22">
        <v>4</v>
      </c>
      <c r="M22" s="4">
        <v>3299</v>
      </c>
      <c r="N22" s="3">
        <v>0.15</v>
      </c>
      <c r="O22" s="5">
        <v>80</v>
      </c>
      <c r="P22" t="s">
        <v>58</v>
      </c>
      <c r="Q22" t="s">
        <v>32</v>
      </c>
      <c r="R22">
        <v>3</v>
      </c>
      <c r="S22" t="s">
        <v>44</v>
      </c>
      <c r="T22" s="5">
        <v>13196</v>
      </c>
      <c r="U22" s="5">
        <v>1979.4</v>
      </c>
      <c r="V22" s="6">
        <v>11296.6</v>
      </c>
      <c r="X22" s="25"/>
      <c r="Y22" s="26"/>
      <c r="Z22" s="27"/>
    </row>
    <row r="23" spans="1:26" x14ac:dyDescent="0.25">
      <c r="A23" t="s">
        <v>121</v>
      </c>
      <c r="B23" s="2">
        <v>46192</v>
      </c>
      <c r="C23" t="s">
        <v>122</v>
      </c>
      <c r="D23" t="s">
        <v>123</v>
      </c>
      <c r="E23" t="s">
        <v>25</v>
      </c>
      <c r="F23">
        <v>29</v>
      </c>
      <c r="G23" t="s">
        <v>94</v>
      </c>
      <c r="H23" t="s">
        <v>95</v>
      </c>
      <c r="I23" t="s">
        <v>67</v>
      </c>
      <c r="J23" t="s">
        <v>56</v>
      </c>
      <c r="K23" t="s">
        <v>57</v>
      </c>
      <c r="L23">
        <v>4</v>
      </c>
      <c r="M23" s="4">
        <v>2199</v>
      </c>
      <c r="N23" s="3">
        <v>0.2</v>
      </c>
      <c r="O23" s="5">
        <v>50</v>
      </c>
      <c r="P23" t="s">
        <v>82</v>
      </c>
      <c r="Q23" t="s">
        <v>32</v>
      </c>
      <c r="R23">
        <v>3</v>
      </c>
      <c r="S23" t="s">
        <v>76</v>
      </c>
      <c r="T23" s="5">
        <v>8796</v>
      </c>
      <c r="U23" s="5">
        <v>1759.2</v>
      </c>
      <c r="V23" s="6">
        <v>7086.8</v>
      </c>
      <c r="X23" s="25"/>
      <c r="Y23" s="26"/>
      <c r="Z23" s="27"/>
    </row>
    <row r="24" spans="1:26" x14ac:dyDescent="0.25">
      <c r="A24" t="s">
        <v>124</v>
      </c>
      <c r="B24" s="2">
        <v>46035</v>
      </c>
      <c r="C24" t="s">
        <v>78</v>
      </c>
      <c r="D24" t="s">
        <v>79</v>
      </c>
      <c r="E24" t="s">
        <v>25</v>
      </c>
      <c r="F24">
        <v>21</v>
      </c>
      <c r="G24" t="s">
        <v>26</v>
      </c>
      <c r="H24" t="s">
        <v>27</v>
      </c>
      <c r="I24" t="s">
        <v>28</v>
      </c>
      <c r="J24" t="s">
        <v>29</v>
      </c>
      <c r="K24" t="s">
        <v>30</v>
      </c>
      <c r="L24">
        <v>3</v>
      </c>
      <c r="M24" s="4">
        <v>899</v>
      </c>
      <c r="N24" s="3">
        <v>0</v>
      </c>
      <c r="O24" s="5">
        <v>100</v>
      </c>
      <c r="P24" t="s">
        <v>43</v>
      </c>
      <c r="Q24" t="s">
        <v>32</v>
      </c>
      <c r="R24">
        <v>3</v>
      </c>
      <c r="S24" t="s">
        <v>33</v>
      </c>
      <c r="T24" s="5">
        <v>2697</v>
      </c>
      <c r="U24" s="5">
        <v>0</v>
      </c>
      <c r="V24" s="6">
        <v>2797</v>
      </c>
      <c r="X24" s="25"/>
      <c r="Y24" s="26"/>
      <c r="Z24" s="27"/>
    </row>
    <row r="25" spans="1:26" x14ac:dyDescent="0.25">
      <c r="A25" t="s">
        <v>125</v>
      </c>
      <c r="B25" s="2">
        <v>46053</v>
      </c>
      <c r="C25" t="s">
        <v>35</v>
      </c>
      <c r="D25" t="s">
        <v>36</v>
      </c>
      <c r="E25" t="s">
        <v>25</v>
      </c>
      <c r="F25">
        <v>38</v>
      </c>
      <c r="G25" t="s">
        <v>53</v>
      </c>
      <c r="H25" t="s">
        <v>54</v>
      </c>
      <c r="I25" t="s">
        <v>55</v>
      </c>
      <c r="J25" t="s">
        <v>90</v>
      </c>
      <c r="K25" t="s">
        <v>69</v>
      </c>
      <c r="L25">
        <v>2</v>
      </c>
      <c r="M25" s="4">
        <v>1799</v>
      </c>
      <c r="N25" s="3">
        <v>0.15</v>
      </c>
      <c r="O25" s="5">
        <v>100</v>
      </c>
      <c r="P25" t="s">
        <v>43</v>
      </c>
      <c r="Q25" t="s">
        <v>97</v>
      </c>
      <c r="R25">
        <v>3</v>
      </c>
      <c r="S25" t="s">
        <v>76</v>
      </c>
      <c r="T25" s="5">
        <v>3598</v>
      </c>
      <c r="U25" s="5">
        <v>539.69999999999993</v>
      </c>
      <c r="V25" s="6">
        <v>3158.3</v>
      </c>
      <c r="X25" s="25"/>
      <c r="Y25" s="26"/>
      <c r="Z25" s="27"/>
    </row>
    <row r="26" spans="1:26" x14ac:dyDescent="0.25">
      <c r="A26" t="s">
        <v>126</v>
      </c>
      <c r="B26" s="2">
        <v>46075</v>
      </c>
      <c r="C26" t="s">
        <v>35</v>
      </c>
      <c r="D26" t="s">
        <v>36</v>
      </c>
      <c r="E26" t="s">
        <v>25</v>
      </c>
      <c r="F26">
        <v>28</v>
      </c>
      <c r="G26" t="s">
        <v>71</v>
      </c>
      <c r="H26" t="s">
        <v>72</v>
      </c>
      <c r="I26" t="s">
        <v>67</v>
      </c>
      <c r="J26" t="s">
        <v>88</v>
      </c>
      <c r="K26" t="s">
        <v>75</v>
      </c>
      <c r="L26">
        <v>3</v>
      </c>
      <c r="M26" s="4">
        <v>599</v>
      </c>
      <c r="N26" s="3">
        <v>0.1</v>
      </c>
      <c r="O26" s="5">
        <v>80</v>
      </c>
      <c r="P26" t="s">
        <v>49</v>
      </c>
      <c r="Q26" t="s">
        <v>32</v>
      </c>
      <c r="R26">
        <v>3.5</v>
      </c>
      <c r="S26" t="s">
        <v>76</v>
      </c>
      <c r="T26" s="5">
        <v>1797</v>
      </c>
      <c r="U26" s="5">
        <v>179.7</v>
      </c>
      <c r="V26" s="6">
        <v>1697.3</v>
      </c>
      <c r="X26" s="25"/>
      <c r="Y26" s="26"/>
      <c r="Z26" s="27"/>
    </row>
    <row r="27" spans="1:26" x14ac:dyDescent="0.25">
      <c r="A27" t="s">
        <v>127</v>
      </c>
      <c r="B27" s="2">
        <v>46140</v>
      </c>
      <c r="C27" t="s">
        <v>128</v>
      </c>
      <c r="D27" t="s">
        <v>129</v>
      </c>
      <c r="E27" t="s">
        <v>25</v>
      </c>
      <c r="F27">
        <v>22</v>
      </c>
      <c r="G27" t="s">
        <v>94</v>
      </c>
      <c r="H27" t="s">
        <v>95</v>
      </c>
      <c r="I27" t="s">
        <v>67</v>
      </c>
      <c r="J27" t="s">
        <v>106</v>
      </c>
      <c r="K27" t="s">
        <v>57</v>
      </c>
      <c r="L27">
        <v>1</v>
      </c>
      <c r="M27" s="4">
        <v>699</v>
      </c>
      <c r="N27" s="3">
        <v>0</v>
      </c>
      <c r="O27" s="5">
        <v>100</v>
      </c>
      <c r="P27" t="s">
        <v>43</v>
      </c>
      <c r="Q27" t="s">
        <v>32</v>
      </c>
      <c r="R27">
        <v>3.5</v>
      </c>
      <c r="S27" t="s">
        <v>76</v>
      </c>
      <c r="T27" s="5">
        <v>699</v>
      </c>
      <c r="U27" s="5">
        <v>0</v>
      </c>
      <c r="V27" s="6">
        <v>799</v>
      </c>
      <c r="X27" s="25"/>
      <c r="Y27" s="26"/>
      <c r="Z27" s="27"/>
    </row>
    <row r="28" spans="1:26" x14ac:dyDescent="0.25">
      <c r="A28" t="s">
        <v>130</v>
      </c>
      <c r="B28" s="2">
        <v>46117</v>
      </c>
      <c r="C28" t="s">
        <v>122</v>
      </c>
      <c r="D28" t="s">
        <v>123</v>
      </c>
      <c r="E28" t="s">
        <v>37</v>
      </c>
      <c r="F28">
        <v>39</v>
      </c>
      <c r="G28" t="s">
        <v>48</v>
      </c>
      <c r="H28" t="s">
        <v>39</v>
      </c>
      <c r="I28" t="s">
        <v>40</v>
      </c>
      <c r="J28" t="s">
        <v>106</v>
      </c>
      <c r="K28" t="s">
        <v>57</v>
      </c>
      <c r="L28">
        <v>1</v>
      </c>
      <c r="M28" s="4">
        <v>699</v>
      </c>
      <c r="N28" s="3">
        <v>0.05</v>
      </c>
      <c r="O28" s="5">
        <v>120</v>
      </c>
      <c r="P28" t="s">
        <v>58</v>
      </c>
      <c r="Q28" t="s">
        <v>32</v>
      </c>
      <c r="R28">
        <v>5</v>
      </c>
      <c r="S28" t="s">
        <v>33</v>
      </c>
      <c r="T28" s="5">
        <v>699</v>
      </c>
      <c r="U28" s="5">
        <v>34.950000000000003</v>
      </c>
      <c r="V28" s="6">
        <v>784.05</v>
      </c>
      <c r="X28" s="25"/>
      <c r="Y28" s="26"/>
      <c r="Z28" s="27"/>
    </row>
    <row r="29" spans="1:26" x14ac:dyDescent="0.25">
      <c r="A29" t="s">
        <v>131</v>
      </c>
      <c r="B29" s="2">
        <v>46090</v>
      </c>
      <c r="C29" t="s">
        <v>78</v>
      </c>
      <c r="D29" t="s">
        <v>79</v>
      </c>
      <c r="E29" t="s">
        <v>25</v>
      </c>
      <c r="F29">
        <v>28</v>
      </c>
      <c r="G29" t="s">
        <v>87</v>
      </c>
      <c r="H29" t="s">
        <v>87</v>
      </c>
      <c r="I29" t="s">
        <v>55</v>
      </c>
      <c r="J29" t="s">
        <v>88</v>
      </c>
      <c r="K29" t="s">
        <v>75</v>
      </c>
      <c r="L29">
        <v>1</v>
      </c>
      <c r="M29" s="4">
        <v>599</v>
      </c>
      <c r="N29" s="3">
        <v>0.05</v>
      </c>
      <c r="O29" s="5">
        <v>60</v>
      </c>
      <c r="P29" t="s">
        <v>31</v>
      </c>
      <c r="Q29" t="s">
        <v>32</v>
      </c>
      <c r="R29">
        <v>5</v>
      </c>
      <c r="S29" t="s">
        <v>33</v>
      </c>
      <c r="T29" s="5">
        <v>599</v>
      </c>
      <c r="U29" s="5">
        <v>29.95</v>
      </c>
      <c r="V29" s="6">
        <v>629.04999999999995</v>
      </c>
      <c r="X29" s="25"/>
      <c r="Y29" s="26"/>
      <c r="Z29" s="27"/>
    </row>
    <row r="30" spans="1:26" x14ac:dyDescent="0.25">
      <c r="A30" t="s">
        <v>132</v>
      </c>
      <c r="B30" s="2">
        <v>46148</v>
      </c>
      <c r="C30" t="s">
        <v>92</v>
      </c>
      <c r="D30" t="s">
        <v>93</v>
      </c>
      <c r="E30" t="s">
        <v>25</v>
      </c>
      <c r="F30">
        <v>40</v>
      </c>
      <c r="G30" t="s">
        <v>38</v>
      </c>
      <c r="H30" t="s">
        <v>39</v>
      </c>
      <c r="I30" t="s">
        <v>40</v>
      </c>
      <c r="J30" t="s">
        <v>88</v>
      </c>
      <c r="K30" t="s">
        <v>75</v>
      </c>
      <c r="L30">
        <v>3</v>
      </c>
      <c r="M30" s="4">
        <v>599</v>
      </c>
      <c r="N30" s="3">
        <v>0.2</v>
      </c>
      <c r="O30" s="5">
        <v>80</v>
      </c>
      <c r="P30" t="s">
        <v>31</v>
      </c>
      <c r="Q30" t="s">
        <v>32</v>
      </c>
      <c r="R30">
        <v>4</v>
      </c>
      <c r="S30" t="s">
        <v>33</v>
      </c>
      <c r="T30" s="5">
        <v>1797</v>
      </c>
      <c r="U30" s="5">
        <v>359.4</v>
      </c>
      <c r="V30" s="6">
        <v>1517.6</v>
      </c>
      <c r="X30" s="25"/>
      <c r="Y30" s="26"/>
      <c r="Z30" s="27"/>
    </row>
    <row r="31" spans="1:26" x14ac:dyDescent="0.25">
      <c r="A31" t="s">
        <v>133</v>
      </c>
      <c r="B31" s="2">
        <v>46212</v>
      </c>
      <c r="C31" t="s">
        <v>46</v>
      </c>
      <c r="D31" t="s">
        <v>47</v>
      </c>
      <c r="E31" t="s">
        <v>25</v>
      </c>
      <c r="F31">
        <v>23</v>
      </c>
      <c r="G31" t="s">
        <v>65</v>
      </c>
      <c r="H31" t="s">
        <v>66</v>
      </c>
      <c r="I31" t="s">
        <v>67</v>
      </c>
      <c r="J31" t="s">
        <v>68</v>
      </c>
      <c r="K31" t="s">
        <v>69</v>
      </c>
      <c r="L31">
        <v>3</v>
      </c>
      <c r="M31" s="4">
        <v>3299</v>
      </c>
      <c r="N31" s="3">
        <v>0.05</v>
      </c>
      <c r="O31" s="5">
        <v>40</v>
      </c>
      <c r="P31" t="s">
        <v>58</v>
      </c>
      <c r="Q31" t="s">
        <v>32</v>
      </c>
      <c r="R31">
        <v>3.5</v>
      </c>
      <c r="S31" t="s">
        <v>76</v>
      </c>
      <c r="T31" s="5">
        <v>9897</v>
      </c>
      <c r="U31" s="5">
        <v>494.85</v>
      </c>
      <c r="V31" s="6">
        <v>9442.15</v>
      </c>
      <c r="X31" s="25"/>
      <c r="Y31" s="26"/>
      <c r="Z31" s="27"/>
    </row>
    <row r="32" spans="1:26" x14ac:dyDescent="0.25">
      <c r="A32" t="s">
        <v>134</v>
      </c>
      <c r="B32" s="2">
        <v>46055</v>
      </c>
      <c r="C32" t="s">
        <v>114</v>
      </c>
      <c r="D32" t="s">
        <v>115</v>
      </c>
      <c r="E32" t="s">
        <v>25</v>
      </c>
      <c r="F32">
        <v>31</v>
      </c>
      <c r="G32" t="s">
        <v>65</v>
      </c>
      <c r="H32" t="s">
        <v>66</v>
      </c>
      <c r="I32" t="s">
        <v>67</v>
      </c>
      <c r="J32" t="s">
        <v>74</v>
      </c>
      <c r="K32" t="s">
        <v>75</v>
      </c>
      <c r="L32">
        <v>2</v>
      </c>
      <c r="M32" s="4">
        <v>2899</v>
      </c>
      <c r="N32" s="3">
        <v>0.15</v>
      </c>
      <c r="O32" s="5">
        <v>50</v>
      </c>
      <c r="P32" t="s">
        <v>49</v>
      </c>
      <c r="Q32" t="s">
        <v>32</v>
      </c>
      <c r="R32">
        <v>3.5</v>
      </c>
      <c r="S32" t="s">
        <v>76</v>
      </c>
      <c r="T32" s="5">
        <v>5798</v>
      </c>
      <c r="U32" s="5">
        <v>869.69999999999993</v>
      </c>
      <c r="V32" s="6">
        <v>4978.3</v>
      </c>
      <c r="X32" s="25"/>
      <c r="Y32" s="26"/>
      <c r="Z32" s="27"/>
    </row>
    <row r="33" spans="1:26" x14ac:dyDescent="0.25">
      <c r="A33" t="s">
        <v>135</v>
      </c>
      <c r="B33" s="2">
        <v>46214</v>
      </c>
      <c r="C33" t="s">
        <v>23</v>
      </c>
      <c r="D33" t="s">
        <v>24</v>
      </c>
      <c r="E33" t="s">
        <v>25</v>
      </c>
      <c r="F33">
        <v>45</v>
      </c>
      <c r="G33" t="s">
        <v>65</v>
      </c>
      <c r="H33" t="s">
        <v>66</v>
      </c>
      <c r="I33" t="s">
        <v>67</v>
      </c>
      <c r="J33" t="s">
        <v>136</v>
      </c>
      <c r="K33" t="s">
        <v>112</v>
      </c>
      <c r="L33">
        <v>4</v>
      </c>
      <c r="M33" s="4">
        <v>399</v>
      </c>
      <c r="N33" s="3">
        <v>0.2</v>
      </c>
      <c r="O33" s="5">
        <v>50</v>
      </c>
      <c r="P33" t="s">
        <v>82</v>
      </c>
      <c r="Q33" t="s">
        <v>32</v>
      </c>
      <c r="R33">
        <v>4.5</v>
      </c>
      <c r="S33" t="s">
        <v>33</v>
      </c>
      <c r="T33" s="5">
        <v>1596</v>
      </c>
      <c r="U33" s="5">
        <v>319.2</v>
      </c>
      <c r="V33" s="6">
        <v>1326.8</v>
      </c>
      <c r="X33" s="25"/>
      <c r="Y33" s="26"/>
      <c r="Z33" s="27"/>
    </row>
    <row r="34" spans="1:26" x14ac:dyDescent="0.25">
      <c r="A34" t="s">
        <v>137</v>
      </c>
      <c r="B34" s="2">
        <v>46063</v>
      </c>
      <c r="C34" t="s">
        <v>84</v>
      </c>
      <c r="D34" t="s">
        <v>85</v>
      </c>
      <c r="E34" t="s">
        <v>37</v>
      </c>
      <c r="F34">
        <v>21</v>
      </c>
      <c r="G34" t="s">
        <v>65</v>
      </c>
      <c r="H34" t="s">
        <v>66</v>
      </c>
      <c r="I34" t="s">
        <v>67</v>
      </c>
      <c r="J34" t="s">
        <v>138</v>
      </c>
      <c r="K34" t="s">
        <v>57</v>
      </c>
      <c r="L34">
        <v>2</v>
      </c>
      <c r="M34" s="4">
        <v>1599</v>
      </c>
      <c r="N34" s="3">
        <v>0.1</v>
      </c>
      <c r="O34" s="5">
        <v>80</v>
      </c>
      <c r="P34" t="s">
        <v>31</v>
      </c>
      <c r="Q34" t="s">
        <v>139</v>
      </c>
      <c r="R34">
        <v>3.5</v>
      </c>
      <c r="S34" t="s">
        <v>33</v>
      </c>
      <c r="T34" s="5">
        <v>3198</v>
      </c>
      <c r="U34" s="5">
        <v>319.8</v>
      </c>
      <c r="V34" s="6">
        <v>2958.2</v>
      </c>
      <c r="X34" s="25"/>
      <c r="Y34" s="26"/>
      <c r="Z34" s="27"/>
    </row>
    <row r="35" spans="1:26" x14ac:dyDescent="0.25">
      <c r="A35" t="s">
        <v>140</v>
      </c>
      <c r="B35" s="2">
        <v>46029</v>
      </c>
      <c r="C35" t="s">
        <v>63</v>
      </c>
      <c r="D35" t="s">
        <v>64</v>
      </c>
      <c r="E35" t="s">
        <v>37</v>
      </c>
      <c r="F35">
        <v>28</v>
      </c>
      <c r="G35" t="s">
        <v>65</v>
      </c>
      <c r="H35" t="s">
        <v>66</v>
      </c>
      <c r="I35" t="s">
        <v>67</v>
      </c>
      <c r="J35" t="s">
        <v>56</v>
      </c>
      <c r="K35" t="s">
        <v>57</v>
      </c>
      <c r="L35">
        <v>2</v>
      </c>
      <c r="M35" s="4">
        <v>2199</v>
      </c>
      <c r="N35" s="3">
        <v>0.05</v>
      </c>
      <c r="O35" s="5">
        <v>40</v>
      </c>
      <c r="P35" t="s">
        <v>58</v>
      </c>
      <c r="Q35" t="s">
        <v>32</v>
      </c>
      <c r="R35">
        <v>4</v>
      </c>
      <c r="S35" t="s">
        <v>44</v>
      </c>
      <c r="T35" s="5">
        <v>4398</v>
      </c>
      <c r="U35" s="5">
        <v>219.9</v>
      </c>
      <c r="V35" s="6">
        <v>4218.1000000000004</v>
      </c>
      <c r="X35" s="28"/>
      <c r="Y35" s="29"/>
      <c r="Z35" s="30"/>
    </row>
    <row r="36" spans="1:26" x14ac:dyDescent="0.25">
      <c r="A36" t="s">
        <v>141</v>
      </c>
      <c r="B36" s="2">
        <v>46052</v>
      </c>
      <c r="C36" t="s">
        <v>142</v>
      </c>
      <c r="D36" t="s">
        <v>143</v>
      </c>
      <c r="E36" t="s">
        <v>25</v>
      </c>
      <c r="F36">
        <v>38</v>
      </c>
      <c r="G36" t="s">
        <v>71</v>
      </c>
      <c r="H36" t="s">
        <v>72</v>
      </c>
      <c r="I36" t="s">
        <v>67</v>
      </c>
      <c r="J36" t="s">
        <v>88</v>
      </c>
      <c r="K36" t="s">
        <v>75</v>
      </c>
      <c r="L36">
        <v>3</v>
      </c>
      <c r="M36" s="4">
        <v>599</v>
      </c>
      <c r="N36" s="3">
        <v>0</v>
      </c>
      <c r="O36" s="5">
        <v>60</v>
      </c>
      <c r="P36" t="s">
        <v>49</v>
      </c>
      <c r="Q36" t="s">
        <v>116</v>
      </c>
      <c r="R36">
        <v>3</v>
      </c>
      <c r="S36" t="s">
        <v>33</v>
      </c>
      <c r="T36" s="5">
        <v>1797</v>
      </c>
      <c r="U36" s="5">
        <v>0</v>
      </c>
      <c r="V36" s="6">
        <v>1857</v>
      </c>
    </row>
    <row r="37" spans="1:26" x14ac:dyDescent="0.25">
      <c r="A37" t="s">
        <v>144</v>
      </c>
      <c r="B37" s="2">
        <v>46178</v>
      </c>
      <c r="C37" t="s">
        <v>145</v>
      </c>
      <c r="D37" t="s">
        <v>146</v>
      </c>
      <c r="E37" t="s">
        <v>37</v>
      </c>
      <c r="F37">
        <v>38</v>
      </c>
      <c r="G37" t="s">
        <v>71</v>
      </c>
      <c r="H37" t="s">
        <v>72</v>
      </c>
      <c r="I37" t="s">
        <v>67</v>
      </c>
      <c r="J37" t="s">
        <v>106</v>
      </c>
      <c r="K37" t="s">
        <v>57</v>
      </c>
      <c r="L37">
        <v>3</v>
      </c>
      <c r="M37" s="4">
        <v>699</v>
      </c>
      <c r="N37" s="3">
        <v>0.15</v>
      </c>
      <c r="O37" s="5">
        <v>50</v>
      </c>
      <c r="P37" t="s">
        <v>31</v>
      </c>
      <c r="Q37" t="s">
        <v>97</v>
      </c>
      <c r="R37">
        <v>4</v>
      </c>
      <c r="S37" t="s">
        <v>33</v>
      </c>
      <c r="T37" s="5">
        <v>2097</v>
      </c>
      <c r="U37" s="5">
        <v>314.55</v>
      </c>
      <c r="V37" s="6">
        <v>1832.45</v>
      </c>
    </row>
    <row r="38" spans="1:26" x14ac:dyDescent="0.25">
      <c r="A38" t="s">
        <v>147</v>
      </c>
      <c r="B38" s="2">
        <v>46133</v>
      </c>
      <c r="C38" t="s">
        <v>118</v>
      </c>
      <c r="D38" t="s">
        <v>119</v>
      </c>
      <c r="E38" t="s">
        <v>37</v>
      </c>
      <c r="F38">
        <v>41</v>
      </c>
      <c r="G38" t="s">
        <v>26</v>
      </c>
      <c r="H38" t="s">
        <v>27</v>
      </c>
      <c r="I38" t="s">
        <v>28</v>
      </c>
      <c r="J38" t="s">
        <v>136</v>
      </c>
      <c r="K38" t="s">
        <v>112</v>
      </c>
      <c r="L38">
        <v>2</v>
      </c>
      <c r="M38" s="4">
        <v>399</v>
      </c>
      <c r="N38" s="3">
        <v>0.1</v>
      </c>
      <c r="O38" s="5">
        <v>40</v>
      </c>
      <c r="P38" t="s">
        <v>49</v>
      </c>
      <c r="Q38" t="s">
        <v>32</v>
      </c>
      <c r="R38">
        <v>4</v>
      </c>
      <c r="S38" t="s">
        <v>76</v>
      </c>
      <c r="T38" s="5">
        <v>798</v>
      </c>
      <c r="U38" s="5">
        <v>79.800000000000011</v>
      </c>
      <c r="V38" s="6">
        <v>758.2</v>
      </c>
    </row>
    <row r="39" spans="1:26" x14ac:dyDescent="0.25">
      <c r="A39" t="s">
        <v>148</v>
      </c>
      <c r="B39" s="2">
        <v>46164</v>
      </c>
      <c r="C39" t="s">
        <v>128</v>
      </c>
      <c r="D39" t="s">
        <v>129</v>
      </c>
      <c r="E39" t="s">
        <v>37</v>
      </c>
      <c r="F39">
        <v>41</v>
      </c>
      <c r="G39" t="s">
        <v>71</v>
      </c>
      <c r="H39" t="s">
        <v>72</v>
      </c>
      <c r="I39" t="s">
        <v>67</v>
      </c>
      <c r="J39" t="s">
        <v>106</v>
      </c>
      <c r="K39" t="s">
        <v>57</v>
      </c>
      <c r="L39">
        <v>4</v>
      </c>
      <c r="M39" s="4">
        <v>699</v>
      </c>
      <c r="N39" s="3">
        <v>0.1</v>
      </c>
      <c r="O39" s="5">
        <v>120</v>
      </c>
      <c r="P39" t="s">
        <v>58</v>
      </c>
      <c r="Q39" t="s">
        <v>32</v>
      </c>
      <c r="R39">
        <v>3.5</v>
      </c>
      <c r="S39" t="s">
        <v>76</v>
      </c>
      <c r="T39" s="5">
        <v>2796</v>
      </c>
      <c r="U39" s="5">
        <v>279.60000000000002</v>
      </c>
      <c r="V39" s="6">
        <v>2636.4</v>
      </c>
    </row>
    <row r="40" spans="1:26" x14ac:dyDescent="0.25">
      <c r="A40" t="s">
        <v>149</v>
      </c>
      <c r="B40" s="2">
        <v>46096</v>
      </c>
      <c r="C40" t="s">
        <v>60</v>
      </c>
      <c r="D40" t="s">
        <v>61</v>
      </c>
      <c r="E40" t="s">
        <v>37</v>
      </c>
      <c r="F40">
        <v>34</v>
      </c>
      <c r="G40" t="s">
        <v>87</v>
      </c>
      <c r="H40" t="s">
        <v>87</v>
      </c>
      <c r="I40" t="s">
        <v>55</v>
      </c>
      <c r="J40" t="s">
        <v>138</v>
      </c>
      <c r="K40" t="s">
        <v>57</v>
      </c>
      <c r="L40">
        <v>1</v>
      </c>
      <c r="M40" s="4">
        <v>1599</v>
      </c>
      <c r="N40" s="3">
        <v>0.1</v>
      </c>
      <c r="O40" s="5">
        <v>80</v>
      </c>
      <c r="P40" t="s">
        <v>43</v>
      </c>
      <c r="Q40" t="s">
        <v>32</v>
      </c>
      <c r="R40">
        <v>4.5</v>
      </c>
      <c r="S40" t="s">
        <v>76</v>
      </c>
      <c r="T40" s="5">
        <v>1599</v>
      </c>
      <c r="U40" s="5">
        <v>159.9</v>
      </c>
      <c r="V40" s="6">
        <v>1519.1</v>
      </c>
    </row>
    <row r="41" spans="1:26" x14ac:dyDescent="0.25">
      <c r="A41" t="s">
        <v>150</v>
      </c>
      <c r="B41" s="2">
        <v>46095</v>
      </c>
      <c r="C41" t="s">
        <v>100</v>
      </c>
      <c r="D41" t="s">
        <v>101</v>
      </c>
      <c r="E41" t="s">
        <v>37</v>
      </c>
      <c r="F41">
        <v>22</v>
      </c>
      <c r="G41" t="s">
        <v>80</v>
      </c>
      <c r="H41" t="s">
        <v>81</v>
      </c>
      <c r="I41" t="s">
        <v>40</v>
      </c>
      <c r="J41" t="s">
        <v>111</v>
      </c>
      <c r="K41" t="s">
        <v>112</v>
      </c>
      <c r="L41">
        <v>2</v>
      </c>
      <c r="M41" s="4">
        <v>999</v>
      </c>
      <c r="N41" s="3">
        <v>0</v>
      </c>
      <c r="O41" s="5">
        <v>50</v>
      </c>
      <c r="P41" t="s">
        <v>43</v>
      </c>
      <c r="Q41" t="s">
        <v>32</v>
      </c>
      <c r="R41">
        <v>4</v>
      </c>
      <c r="S41" t="s">
        <v>33</v>
      </c>
      <c r="T41" s="5">
        <v>1998</v>
      </c>
      <c r="U41" s="5">
        <v>0</v>
      </c>
      <c r="V41" s="6">
        <v>2048</v>
      </c>
    </row>
    <row r="42" spans="1:26" x14ac:dyDescent="0.25">
      <c r="A42" t="s">
        <v>151</v>
      </c>
      <c r="B42" s="2">
        <v>46144</v>
      </c>
      <c r="C42" t="s">
        <v>100</v>
      </c>
      <c r="D42" t="s">
        <v>101</v>
      </c>
      <c r="E42" t="s">
        <v>37</v>
      </c>
      <c r="F42">
        <v>33</v>
      </c>
      <c r="G42" t="s">
        <v>48</v>
      </c>
      <c r="H42" t="s">
        <v>39</v>
      </c>
      <c r="I42" t="s">
        <v>40</v>
      </c>
      <c r="J42" t="s">
        <v>96</v>
      </c>
      <c r="K42" t="s">
        <v>69</v>
      </c>
      <c r="L42">
        <v>1</v>
      </c>
      <c r="M42" s="4">
        <v>2499</v>
      </c>
      <c r="N42" s="3">
        <v>0.05</v>
      </c>
      <c r="O42" s="5">
        <v>120</v>
      </c>
      <c r="P42" t="s">
        <v>31</v>
      </c>
      <c r="Q42" t="s">
        <v>32</v>
      </c>
      <c r="R42">
        <v>5</v>
      </c>
      <c r="S42" t="s">
        <v>33</v>
      </c>
      <c r="T42" s="5">
        <v>2499</v>
      </c>
      <c r="U42" s="5">
        <v>124.95</v>
      </c>
      <c r="V42" s="6">
        <v>2494.0500000000002</v>
      </c>
    </row>
    <row r="43" spans="1:26" x14ac:dyDescent="0.25">
      <c r="A43" t="s">
        <v>152</v>
      </c>
      <c r="B43" s="2">
        <v>46190</v>
      </c>
      <c r="C43" t="s">
        <v>153</v>
      </c>
      <c r="D43" t="s">
        <v>154</v>
      </c>
      <c r="E43" t="s">
        <v>37</v>
      </c>
      <c r="F43">
        <v>27</v>
      </c>
      <c r="G43" t="s">
        <v>94</v>
      </c>
      <c r="H43" t="s">
        <v>95</v>
      </c>
      <c r="I43" t="s">
        <v>67</v>
      </c>
      <c r="J43" t="s">
        <v>138</v>
      </c>
      <c r="K43" t="s">
        <v>57</v>
      </c>
      <c r="L43">
        <v>2</v>
      </c>
      <c r="M43" s="4">
        <v>1599</v>
      </c>
      <c r="N43" s="3">
        <v>0.05</v>
      </c>
      <c r="O43" s="5">
        <v>50</v>
      </c>
      <c r="P43" t="s">
        <v>31</v>
      </c>
      <c r="Q43" t="s">
        <v>32</v>
      </c>
      <c r="R43">
        <v>5</v>
      </c>
      <c r="S43" t="s">
        <v>44</v>
      </c>
      <c r="T43" s="5">
        <v>3198</v>
      </c>
      <c r="U43" s="5">
        <v>159.9</v>
      </c>
      <c r="V43" s="6">
        <v>3088.1</v>
      </c>
    </row>
    <row r="44" spans="1:26" x14ac:dyDescent="0.25">
      <c r="A44" t="s">
        <v>155</v>
      </c>
      <c r="B44" s="2">
        <v>46057</v>
      </c>
      <c r="C44" t="s">
        <v>114</v>
      </c>
      <c r="D44" t="s">
        <v>115</v>
      </c>
      <c r="E44" t="s">
        <v>37</v>
      </c>
      <c r="F44">
        <v>44</v>
      </c>
      <c r="G44" t="s">
        <v>80</v>
      </c>
      <c r="H44" t="s">
        <v>81</v>
      </c>
      <c r="I44" t="s">
        <v>40</v>
      </c>
      <c r="J44" t="s">
        <v>41</v>
      </c>
      <c r="K44" t="s">
        <v>42</v>
      </c>
      <c r="L44">
        <v>1</v>
      </c>
      <c r="M44" s="4">
        <v>1299</v>
      </c>
      <c r="N44" s="3">
        <v>0.15</v>
      </c>
      <c r="O44" s="5">
        <v>80</v>
      </c>
      <c r="P44" t="s">
        <v>43</v>
      </c>
      <c r="Q44" t="s">
        <v>139</v>
      </c>
      <c r="R44">
        <v>5</v>
      </c>
      <c r="S44" t="s">
        <v>76</v>
      </c>
      <c r="T44" s="5">
        <v>1299</v>
      </c>
      <c r="U44" s="5">
        <v>194.85</v>
      </c>
      <c r="V44" s="6">
        <v>1184.1500000000001</v>
      </c>
    </row>
    <row r="45" spans="1:26" x14ac:dyDescent="0.25">
      <c r="A45" t="s">
        <v>156</v>
      </c>
      <c r="B45" s="2">
        <v>46213</v>
      </c>
      <c r="C45" t="s">
        <v>142</v>
      </c>
      <c r="D45" t="s">
        <v>143</v>
      </c>
      <c r="E45" t="s">
        <v>37</v>
      </c>
      <c r="F45">
        <v>44</v>
      </c>
      <c r="G45" t="s">
        <v>71</v>
      </c>
      <c r="H45" t="s">
        <v>72</v>
      </c>
      <c r="I45" t="s">
        <v>67</v>
      </c>
      <c r="J45" t="s">
        <v>136</v>
      </c>
      <c r="K45" t="s">
        <v>112</v>
      </c>
      <c r="L45">
        <v>4</v>
      </c>
      <c r="M45" s="4">
        <v>399</v>
      </c>
      <c r="N45" s="3">
        <v>0.05</v>
      </c>
      <c r="O45" s="5">
        <v>50</v>
      </c>
      <c r="P45" t="s">
        <v>58</v>
      </c>
      <c r="Q45" t="s">
        <v>116</v>
      </c>
      <c r="R45">
        <v>4</v>
      </c>
      <c r="S45" t="s">
        <v>76</v>
      </c>
      <c r="T45" s="5">
        <v>1596</v>
      </c>
      <c r="U45" s="5">
        <v>79.800000000000011</v>
      </c>
      <c r="V45" s="6">
        <v>1566.2</v>
      </c>
    </row>
    <row r="46" spans="1:26" x14ac:dyDescent="0.25">
      <c r="A46" t="s">
        <v>157</v>
      </c>
      <c r="B46" s="2">
        <v>46205</v>
      </c>
      <c r="C46" t="s">
        <v>109</v>
      </c>
      <c r="D46" t="s">
        <v>110</v>
      </c>
      <c r="E46" t="s">
        <v>37</v>
      </c>
      <c r="F46">
        <v>30</v>
      </c>
      <c r="G46" t="s">
        <v>38</v>
      </c>
      <c r="H46" t="s">
        <v>39</v>
      </c>
      <c r="I46" t="s">
        <v>40</v>
      </c>
      <c r="J46" t="s">
        <v>56</v>
      </c>
      <c r="K46" t="s">
        <v>57</v>
      </c>
      <c r="L46">
        <v>4</v>
      </c>
      <c r="M46" s="4">
        <v>2199</v>
      </c>
      <c r="N46" s="3">
        <v>0</v>
      </c>
      <c r="O46" s="5">
        <v>100</v>
      </c>
      <c r="P46" t="s">
        <v>49</v>
      </c>
      <c r="Q46" t="s">
        <v>32</v>
      </c>
      <c r="R46">
        <v>3</v>
      </c>
      <c r="S46" t="s">
        <v>33</v>
      </c>
      <c r="T46" s="5">
        <v>8796</v>
      </c>
      <c r="U46" s="5">
        <v>0</v>
      </c>
      <c r="V46" s="6">
        <v>8896</v>
      </c>
    </row>
    <row r="47" spans="1:26" x14ac:dyDescent="0.25">
      <c r="A47" t="s">
        <v>158</v>
      </c>
      <c r="B47" s="2">
        <v>46039</v>
      </c>
      <c r="C47" t="s">
        <v>159</v>
      </c>
      <c r="D47" t="s">
        <v>160</v>
      </c>
      <c r="E47" t="s">
        <v>37</v>
      </c>
      <c r="F47">
        <v>33</v>
      </c>
      <c r="G47" t="s">
        <v>38</v>
      </c>
      <c r="H47" t="s">
        <v>39</v>
      </c>
      <c r="I47" t="s">
        <v>40</v>
      </c>
      <c r="J47" t="s">
        <v>138</v>
      </c>
      <c r="K47" t="s">
        <v>57</v>
      </c>
      <c r="L47">
        <v>2</v>
      </c>
      <c r="M47" s="4">
        <v>1599</v>
      </c>
      <c r="N47" s="3">
        <v>0.05</v>
      </c>
      <c r="O47" s="5">
        <v>40</v>
      </c>
      <c r="P47" t="s">
        <v>49</v>
      </c>
      <c r="Q47" t="s">
        <v>32</v>
      </c>
      <c r="R47">
        <v>3.5</v>
      </c>
      <c r="S47" t="s">
        <v>44</v>
      </c>
      <c r="T47" s="5">
        <v>3198</v>
      </c>
      <c r="U47" s="5">
        <v>159.9</v>
      </c>
      <c r="V47" s="6">
        <v>3078.1</v>
      </c>
    </row>
    <row r="48" spans="1:26" x14ac:dyDescent="0.25">
      <c r="A48" t="s">
        <v>161</v>
      </c>
      <c r="B48" s="2">
        <v>46120</v>
      </c>
      <c r="C48" t="s">
        <v>153</v>
      </c>
      <c r="D48" t="s">
        <v>154</v>
      </c>
      <c r="E48" t="s">
        <v>37</v>
      </c>
      <c r="F48">
        <v>44</v>
      </c>
      <c r="G48" t="s">
        <v>53</v>
      </c>
      <c r="H48" t="s">
        <v>54</v>
      </c>
      <c r="I48" t="s">
        <v>55</v>
      </c>
      <c r="J48" t="s">
        <v>29</v>
      </c>
      <c r="K48" t="s">
        <v>30</v>
      </c>
      <c r="L48">
        <v>1</v>
      </c>
      <c r="M48" s="4">
        <v>899</v>
      </c>
      <c r="N48" s="3">
        <v>0.2</v>
      </c>
      <c r="O48" s="5">
        <v>80</v>
      </c>
      <c r="P48" t="s">
        <v>49</v>
      </c>
      <c r="Q48" t="s">
        <v>32</v>
      </c>
      <c r="R48">
        <v>4.5</v>
      </c>
      <c r="S48" t="s">
        <v>76</v>
      </c>
      <c r="T48" s="5">
        <v>899</v>
      </c>
      <c r="U48" s="5">
        <v>179.8</v>
      </c>
      <c r="V48" s="6">
        <v>799.2</v>
      </c>
    </row>
    <row r="49" spans="1:22" x14ac:dyDescent="0.25">
      <c r="A49" t="s">
        <v>162</v>
      </c>
      <c r="B49" s="2">
        <v>46092</v>
      </c>
      <c r="C49" t="s">
        <v>78</v>
      </c>
      <c r="D49" t="s">
        <v>79</v>
      </c>
      <c r="E49" t="s">
        <v>37</v>
      </c>
      <c r="F49">
        <v>30</v>
      </c>
      <c r="G49" t="s">
        <v>53</v>
      </c>
      <c r="H49" t="s">
        <v>54</v>
      </c>
      <c r="I49" t="s">
        <v>55</v>
      </c>
      <c r="J49" t="s">
        <v>41</v>
      </c>
      <c r="K49" t="s">
        <v>42</v>
      </c>
      <c r="L49">
        <v>4</v>
      </c>
      <c r="M49" s="4">
        <v>1299</v>
      </c>
      <c r="N49" s="3">
        <v>0.05</v>
      </c>
      <c r="O49" s="5">
        <v>120</v>
      </c>
      <c r="P49" t="s">
        <v>31</v>
      </c>
      <c r="Q49" t="s">
        <v>32</v>
      </c>
      <c r="R49">
        <v>4.5</v>
      </c>
      <c r="S49" t="s">
        <v>76</v>
      </c>
      <c r="T49" s="5">
        <v>5196</v>
      </c>
      <c r="U49" s="5">
        <v>259.8</v>
      </c>
      <c r="V49" s="6">
        <v>5056.2</v>
      </c>
    </row>
    <row r="50" spans="1:22" x14ac:dyDescent="0.25">
      <c r="A50" t="s">
        <v>163</v>
      </c>
      <c r="B50" s="2">
        <v>46174</v>
      </c>
      <c r="C50" t="s">
        <v>84</v>
      </c>
      <c r="D50" t="s">
        <v>85</v>
      </c>
      <c r="E50" t="s">
        <v>25</v>
      </c>
      <c r="F50">
        <v>40</v>
      </c>
      <c r="G50" t="s">
        <v>94</v>
      </c>
      <c r="H50" t="s">
        <v>95</v>
      </c>
      <c r="I50" t="s">
        <v>67</v>
      </c>
      <c r="J50" t="s">
        <v>68</v>
      </c>
      <c r="K50" t="s">
        <v>69</v>
      </c>
      <c r="L50">
        <v>1</v>
      </c>
      <c r="M50" s="4">
        <v>3299</v>
      </c>
      <c r="N50" s="3">
        <v>0.15</v>
      </c>
      <c r="O50" s="5">
        <v>80</v>
      </c>
      <c r="P50" t="s">
        <v>31</v>
      </c>
      <c r="Q50" t="s">
        <v>32</v>
      </c>
      <c r="R50">
        <v>3.5</v>
      </c>
      <c r="S50" t="s">
        <v>44</v>
      </c>
      <c r="T50" s="5">
        <v>3299</v>
      </c>
      <c r="U50" s="5">
        <v>494.85</v>
      </c>
      <c r="V50" s="6">
        <v>2884.15</v>
      </c>
    </row>
    <row r="51" spans="1:22" x14ac:dyDescent="0.25">
      <c r="A51" t="s">
        <v>164</v>
      </c>
      <c r="B51" s="2">
        <v>46077</v>
      </c>
      <c r="C51" t="s">
        <v>84</v>
      </c>
      <c r="D51" t="s">
        <v>85</v>
      </c>
      <c r="E51" t="s">
        <v>37</v>
      </c>
      <c r="F51">
        <v>28</v>
      </c>
      <c r="G51" t="s">
        <v>26</v>
      </c>
      <c r="H51" t="s">
        <v>27</v>
      </c>
      <c r="I51" t="s">
        <v>28</v>
      </c>
      <c r="J51" t="s">
        <v>56</v>
      </c>
      <c r="K51" t="s">
        <v>57</v>
      </c>
      <c r="L51">
        <v>4</v>
      </c>
      <c r="M51" s="4">
        <v>2199</v>
      </c>
      <c r="N51" s="3">
        <v>0.1</v>
      </c>
      <c r="O51" s="5">
        <v>80</v>
      </c>
      <c r="P51" t="s">
        <v>49</v>
      </c>
      <c r="Q51" t="s">
        <v>32</v>
      </c>
      <c r="R51">
        <v>4</v>
      </c>
      <c r="S51" t="s">
        <v>33</v>
      </c>
      <c r="T51" s="5">
        <v>8796</v>
      </c>
      <c r="U51" s="5">
        <v>879.6</v>
      </c>
      <c r="V51" s="6">
        <v>7996.4</v>
      </c>
    </row>
    <row r="52" spans="1:22" x14ac:dyDescent="0.25">
      <c r="A52" t="s">
        <v>165</v>
      </c>
      <c r="B52" s="2">
        <v>46080</v>
      </c>
      <c r="C52" t="s">
        <v>109</v>
      </c>
      <c r="D52" t="s">
        <v>110</v>
      </c>
      <c r="E52" t="s">
        <v>25</v>
      </c>
      <c r="F52">
        <v>27</v>
      </c>
      <c r="G52" t="s">
        <v>26</v>
      </c>
      <c r="H52" t="s">
        <v>27</v>
      </c>
      <c r="I52" t="s">
        <v>28</v>
      </c>
      <c r="J52" t="s">
        <v>29</v>
      </c>
      <c r="K52" t="s">
        <v>30</v>
      </c>
      <c r="L52">
        <v>1</v>
      </c>
      <c r="M52" s="4">
        <v>899</v>
      </c>
      <c r="N52" s="3">
        <v>0.1</v>
      </c>
      <c r="O52" s="5">
        <v>50</v>
      </c>
      <c r="P52" t="s">
        <v>31</v>
      </c>
      <c r="Q52" t="s">
        <v>32</v>
      </c>
      <c r="R52">
        <v>3</v>
      </c>
      <c r="S52" t="s">
        <v>76</v>
      </c>
      <c r="T52" s="5">
        <v>899</v>
      </c>
      <c r="U52" s="5">
        <v>89.9</v>
      </c>
      <c r="V52" s="6">
        <v>859.1</v>
      </c>
    </row>
    <row r="53" spans="1:22" x14ac:dyDescent="0.25">
      <c r="A53" t="s">
        <v>166</v>
      </c>
      <c r="B53" s="2">
        <v>46167</v>
      </c>
      <c r="C53" t="s">
        <v>159</v>
      </c>
      <c r="D53" t="s">
        <v>160</v>
      </c>
      <c r="E53" t="s">
        <v>37</v>
      </c>
      <c r="F53">
        <v>44</v>
      </c>
      <c r="G53" t="s">
        <v>38</v>
      </c>
      <c r="H53" t="s">
        <v>39</v>
      </c>
      <c r="I53" t="s">
        <v>40</v>
      </c>
      <c r="J53" t="s">
        <v>68</v>
      </c>
      <c r="K53" t="s">
        <v>69</v>
      </c>
      <c r="L53">
        <v>4</v>
      </c>
      <c r="M53" s="4">
        <v>3299</v>
      </c>
      <c r="N53" s="3">
        <v>0</v>
      </c>
      <c r="O53" s="5">
        <v>60</v>
      </c>
      <c r="P53" t="s">
        <v>58</v>
      </c>
      <c r="Q53" t="s">
        <v>97</v>
      </c>
      <c r="R53">
        <v>3.5</v>
      </c>
      <c r="S53" t="s">
        <v>76</v>
      </c>
      <c r="T53" s="5">
        <v>13196</v>
      </c>
      <c r="U53" s="5">
        <v>0</v>
      </c>
      <c r="V53" s="6">
        <v>13256</v>
      </c>
    </row>
    <row r="54" spans="1:22" x14ac:dyDescent="0.25">
      <c r="A54" t="s">
        <v>167</v>
      </c>
      <c r="B54" s="2">
        <v>46171</v>
      </c>
      <c r="C54" t="s">
        <v>145</v>
      </c>
      <c r="D54" t="s">
        <v>146</v>
      </c>
      <c r="E54" t="s">
        <v>37</v>
      </c>
      <c r="F54">
        <v>32</v>
      </c>
      <c r="G54" t="s">
        <v>105</v>
      </c>
      <c r="H54" t="s">
        <v>27</v>
      </c>
      <c r="I54" t="s">
        <v>28</v>
      </c>
      <c r="J54" t="s">
        <v>68</v>
      </c>
      <c r="K54" t="s">
        <v>69</v>
      </c>
      <c r="L54">
        <v>3</v>
      </c>
      <c r="M54" s="4">
        <v>3299</v>
      </c>
      <c r="N54" s="3">
        <v>0</v>
      </c>
      <c r="O54" s="5">
        <v>120</v>
      </c>
      <c r="P54" t="s">
        <v>49</v>
      </c>
      <c r="Q54" t="s">
        <v>32</v>
      </c>
      <c r="R54">
        <v>3.5</v>
      </c>
      <c r="S54" t="s">
        <v>33</v>
      </c>
      <c r="T54" s="5">
        <v>9897</v>
      </c>
      <c r="U54" s="5">
        <v>0</v>
      </c>
      <c r="V54" s="6">
        <v>10017</v>
      </c>
    </row>
    <row r="55" spans="1:22" x14ac:dyDescent="0.25">
      <c r="A55" t="s">
        <v>168</v>
      </c>
      <c r="B55" s="2">
        <v>46229</v>
      </c>
      <c r="C55" t="s">
        <v>60</v>
      </c>
      <c r="D55" t="s">
        <v>61</v>
      </c>
      <c r="E55" t="s">
        <v>25</v>
      </c>
      <c r="F55">
        <v>31</v>
      </c>
      <c r="G55" t="s">
        <v>38</v>
      </c>
      <c r="H55" t="s">
        <v>39</v>
      </c>
      <c r="I55" t="s">
        <v>40</v>
      </c>
      <c r="J55" t="s">
        <v>90</v>
      </c>
      <c r="K55" t="s">
        <v>69</v>
      </c>
      <c r="L55">
        <v>3</v>
      </c>
      <c r="M55" s="4">
        <v>1799</v>
      </c>
      <c r="N55" s="3">
        <v>0.2</v>
      </c>
      <c r="O55" s="5">
        <v>100</v>
      </c>
      <c r="P55" t="s">
        <v>43</v>
      </c>
      <c r="Q55" t="s">
        <v>32</v>
      </c>
      <c r="R55">
        <v>4.5</v>
      </c>
      <c r="S55" t="s">
        <v>76</v>
      </c>
      <c r="T55" s="5">
        <v>5397</v>
      </c>
      <c r="U55" s="5">
        <v>1079.4000000000001</v>
      </c>
      <c r="V55" s="6">
        <v>4417.6000000000004</v>
      </c>
    </row>
    <row r="56" spans="1:22" x14ac:dyDescent="0.25">
      <c r="A56" t="s">
        <v>169</v>
      </c>
      <c r="B56" s="2">
        <v>46240</v>
      </c>
      <c r="C56" t="s">
        <v>51</v>
      </c>
      <c r="D56" t="s">
        <v>52</v>
      </c>
      <c r="E56" t="s">
        <v>25</v>
      </c>
      <c r="F56">
        <v>33</v>
      </c>
      <c r="G56" t="s">
        <v>105</v>
      </c>
      <c r="H56" t="s">
        <v>27</v>
      </c>
      <c r="I56" t="s">
        <v>28</v>
      </c>
      <c r="J56" t="s">
        <v>136</v>
      </c>
      <c r="K56" t="s">
        <v>112</v>
      </c>
      <c r="L56">
        <v>3</v>
      </c>
      <c r="M56" s="4">
        <v>399</v>
      </c>
      <c r="N56" s="3">
        <v>0</v>
      </c>
      <c r="O56" s="5">
        <v>60</v>
      </c>
      <c r="P56" t="s">
        <v>58</v>
      </c>
      <c r="Q56" t="s">
        <v>32</v>
      </c>
      <c r="R56">
        <v>4.5</v>
      </c>
      <c r="S56" t="s">
        <v>76</v>
      </c>
      <c r="T56" s="5">
        <v>1197</v>
      </c>
      <c r="U56" s="5">
        <v>0</v>
      </c>
      <c r="V56" s="6">
        <v>1257</v>
      </c>
    </row>
    <row r="57" spans="1:22" x14ac:dyDescent="0.25">
      <c r="A57" t="s">
        <v>170</v>
      </c>
      <c r="B57" s="2">
        <v>46229</v>
      </c>
      <c r="C57" t="s">
        <v>159</v>
      </c>
      <c r="D57" t="s">
        <v>160</v>
      </c>
      <c r="E57" t="s">
        <v>37</v>
      </c>
      <c r="F57">
        <v>33</v>
      </c>
      <c r="G57" t="s">
        <v>71</v>
      </c>
      <c r="H57" t="s">
        <v>72</v>
      </c>
      <c r="I57" t="s">
        <v>67</v>
      </c>
      <c r="J57" t="s">
        <v>68</v>
      </c>
      <c r="K57" t="s">
        <v>69</v>
      </c>
      <c r="L57">
        <v>3</v>
      </c>
      <c r="M57" s="4">
        <v>3299</v>
      </c>
      <c r="N57" s="3">
        <v>0.2</v>
      </c>
      <c r="O57" s="5">
        <v>120</v>
      </c>
      <c r="P57" t="s">
        <v>58</v>
      </c>
      <c r="Q57" t="s">
        <v>116</v>
      </c>
      <c r="R57">
        <v>5</v>
      </c>
      <c r="S57" t="s">
        <v>44</v>
      </c>
      <c r="T57" s="5">
        <v>9897</v>
      </c>
      <c r="U57" s="5">
        <v>1979.4</v>
      </c>
      <c r="V57" s="6">
        <v>8037.6</v>
      </c>
    </row>
    <row r="58" spans="1:22" x14ac:dyDescent="0.25">
      <c r="A58" t="s">
        <v>171</v>
      </c>
      <c r="B58" s="2">
        <v>46085</v>
      </c>
      <c r="C58" t="s">
        <v>92</v>
      </c>
      <c r="D58" t="s">
        <v>93</v>
      </c>
      <c r="E58" t="s">
        <v>37</v>
      </c>
      <c r="F58">
        <v>30</v>
      </c>
      <c r="G58" t="s">
        <v>38</v>
      </c>
      <c r="H58" t="s">
        <v>39</v>
      </c>
      <c r="I58" t="s">
        <v>40</v>
      </c>
      <c r="J58" t="s">
        <v>90</v>
      </c>
      <c r="K58" t="s">
        <v>69</v>
      </c>
      <c r="L58">
        <v>3</v>
      </c>
      <c r="M58" s="4">
        <v>1799</v>
      </c>
      <c r="N58" s="3">
        <v>0.15</v>
      </c>
      <c r="O58" s="5">
        <v>40</v>
      </c>
      <c r="P58" t="s">
        <v>43</v>
      </c>
      <c r="Q58" t="s">
        <v>32</v>
      </c>
      <c r="R58">
        <v>4.5</v>
      </c>
      <c r="S58" t="s">
        <v>44</v>
      </c>
      <c r="T58" s="5">
        <v>5397</v>
      </c>
      <c r="U58" s="5">
        <v>809.55</v>
      </c>
      <c r="V58" s="6">
        <v>4627.45</v>
      </c>
    </row>
    <row r="59" spans="1:22" x14ac:dyDescent="0.25">
      <c r="A59" t="s">
        <v>172</v>
      </c>
      <c r="B59" s="2">
        <v>46110</v>
      </c>
      <c r="C59" t="s">
        <v>84</v>
      </c>
      <c r="D59" t="s">
        <v>85</v>
      </c>
      <c r="E59" t="s">
        <v>37</v>
      </c>
      <c r="F59">
        <v>37</v>
      </c>
      <c r="G59" t="s">
        <v>94</v>
      </c>
      <c r="H59" t="s">
        <v>95</v>
      </c>
      <c r="I59" t="s">
        <v>67</v>
      </c>
      <c r="J59" t="s">
        <v>41</v>
      </c>
      <c r="K59" t="s">
        <v>42</v>
      </c>
      <c r="L59">
        <v>3</v>
      </c>
      <c r="M59" s="4">
        <v>1299</v>
      </c>
      <c r="N59" s="3">
        <v>0.1</v>
      </c>
      <c r="O59" s="5">
        <v>40</v>
      </c>
      <c r="P59" t="s">
        <v>43</v>
      </c>
      <c r="Q59" t="s">
        <v>32</v>
      </c>
      <c r="R59">
        <v>5</v>
      </c>
      <c r="S59" t="s">
        <v>33</v>
      </c>
      <c r="T59" s="5">
        <v>3897</v>
      </c>
      <c r="U59" s="5">
        <v>389.7</v>
      </c>
      <c r="V59" s="6">
        <v>3547.3</v>
      </c>
    </row>
    <row r="60" spans="1:22" x14ac:dyDescent="0.25">
      <c r="A60" t="s">
        <v>173</v>
      </c>
      <c r="B60" s="2">
        <v>46165</v>
      </c>
      <c r="C60" t="s">
        <v>35</v>
      </c>
      <c r="D60" t="s">
        <v>36</v>
      </c>
      <c r="E60" t="s">
        <v>37</v>
      </c>
      <c r="F60">
        <v>34</v>
      </c>
      <c r="G60" t="s">
        <v>38</v>
      </c>
      <c r="H60" t="s">
        <v>39</v>
      </c>
      <c r="I60" t="s">
        <v>40</v>
      </c>
      <c r="J60" t="s">
        <v>29</v>
      </c>
      <c r="K60" t="s">
        <v>30</v>
      </c>
      <c r="L60">
        <v>4</v>
      </c>
      <c r="M60" s="4">
        <v>899</v>
      </c>
      <c r="N60" s="3">
        <v>0.15</v>
      </c>
      <c r="O60" s="5">
        <v>40</v>
      </c>
      <c r="P60" t="s">
        <v>58</v>
      </c>
      <c r="Q60" t="s">
        <v>32</v>
      </c>
      <c r="R60">
        <v>3</v>
      </c>
      <c r="S60" t="s">
        <v>44</v>
      </c>
      <c r="T60" s="5">
        <v>3596</v>
      </c>
      <c r="U60" s="5">
        <v>539.4</v>
      </c>
      <c r="V60" s="6">
        <v>3096.6</v>
      </c>
    </row>
    <row r="61" spans="1:22" x14ac:dyDescent="0.25">
      <c r="A61" t="s">
        <v>174</v>
      </c>
      <c r="B61" s="2">
        <v>46192</v>
      </c>
      <c r="C61" t="s">
        <v>103</v>
      </c>
      <c r="D61" t="s">
        <v>104</v>
      </c>
      <c r="E61" t="s">
        <v>37</v>
      </c>
      <c r="F61">
        <v>33</v>
      </c>
      <c r="G61" t="s">
        <v>71</v>
      </c>
      <c r="H61" t="s">
        <v>72</v>
      </c>
      <c r="I61" t="s">
        <v>67</v>
      </c>
      <c r="J61" t="s">
        <v>29</v>
      </c>
      <c r="K61" t="s">
        <v>30</v>
      </c>
      <c r="L61">
        <v>2</v>
      </c>
      <c r="M61" s="4">
        <v>899</v>
      </c>
      <c r="N61" s="3">
        <v>0.1</v>
      </c>
      <c r="O61" s="5">
        <v>120</v>
      </c>
      <c r="P61" t="s">
        <v>58</v>
      </c>
      <c r="Q61" t="s">
        <v>32</v>
      </c>
      <c r="R61">
        <v>5</v>
      </c>
      <c r="S61" t="s">
        <v>44</v>
      </c>
      <c r="T61" s="5">
        <v>1798</v>
      </c>
      <c r="U61" s="5">
        <v>179.8</v>
      </c>
      <c r="V61" s="6">
        <v>1738.2</v>
      </c>
    </row>
    <row r="62" spans="1:22" x14ac:dyDescent="0.25">
      <c r="A62" t="s">
        <v>175</v>
      </c>
      <c r="B62" s="2">
        <v>46082</v>
      </c>
      <c r="C62" t="s">
        <v>51</v>
      </c>
      <c r="D62" t="s">
        <v>52</v>
      </c>
      <c r="E62" t="s">
        <v>37</v>
      </c>
      <c r="F62">
        <v>23</v>
      </c>
      <c r="G62" t="s">
        <v>94</v>
      </c>
      <c r="H62" t="s">
        <v>95</v>
      </c>
      <c r="I62" t="s">
        <v>67</v>
      </c>
      <c r="J62" t="s">
        <v>56</v>
      </c>
      <c r="K62" t="s">
        <v>57</v>
      </c>
      <c r="L62">
        <v>3</v>
      </c>
      <c r="M62" s="4">
        <v>2199</v>
      </c>
      <c r="N62" s="3">
        <v>0.1</v>
      </c>
      <c r="O62" s="5">
        <v>120</v>
      </c>
      <c r="P62" t="s">
        <v>82</v>
      </c>
      <c r="Q62" t="s">
        <v>32</v>
      </c>
      <c r="R62">
        <v>5</v>
      </c>
      <c r="S62" t="s">
        <v>76</v>
      </c>
      <c r="T62" s="5">
        <v>6597</v>
      </c>
      <c r="U62" s="5">
        <v>659.7</v>
      </c>
      <c r="V62" s="6">
        <v>6057.3</v>
      </c>
    </row>
    <row r="63" spans="1:22" x14ac:dyDescent="0.25">
      <c r="A63" t="s">
        <v>176</v>
      </c>
      <c r="B63" s="2">
        <v>46208</v>
      </c>
      <c r="C63" t="s">
        <v>84</v>
      </c>
      <c r="D63" t="s">
        <v>85</v>
      </c>
      <c r="E63" t="s">
        <v>37</v>
      </c>
      <c r="F63">
        <v>23</v>
      </c>
      <c r="G63" t="s">
        <v>38</v>
      </c>
      <c r="H63" t="s">
        <v>39</v>
      </c>
      <c r="I63" t="s">
        <v>40</v>
      </c>
      <c r="J63" t="s">
        <v>41</v>
      </c>
      <c r="K63" t="s">
        <v>42</v>
      </c>
      <c r="L63">
        <v>4</v>
      </c>
      <c r="M63" s="4">
        <v>1299</v>
      </c>
      <c r="N63" s="3">
        <v>0.1</v>
      </c>
      <c r="O63" s="5">
        <v>50</v>
      </c>
      <c r="P63" t="s">
        <v>43</v>
      </c>
      <c r="Q63" t="s">
        <v>32</v>
      </c>
      <c r="R63">
        <v>4</v>
      </c>
      <c r="S63" t="s">
        <v>33</v>
      </c>
      <c r="T63" s="5">
        <v>5196</v>
      </c>
      <c r="U63" s="5">
        <v>519.6</v>
      </c>
      <c r="V63" s="6">
        <v>4726.3999999999996</v>
      </c>
    </row>
    <row r="64" spans="1:22" x14ac:dyDescent="0.25">
      <c r="A64" t="s">
        <v>177</v>
      </c>
      <c r="B64" s="2">
        <v>46055</v>
      </c>
      <c r="C64" t="s">
        <v>51</v>
      </c>
      <c r="D64" t="s">
        <v>52</v>
      </c>
      <c r="E64" t="s">
        <v>37</v>
      </c>
      <c r="F64">
        <v>42</v>
      </c>
      <c r="G64" t="s">
        <v>48</v>
      </c>
      <c r="H64" t="s">
        <v>39</v>
      </c>
      <c r="I64" t="s">
        <v>40</v>
      </c>
      <c r="J64" t="s">
        <v>56</v>
      </c>
      <c r="K64" t="s">
        <v>57</v>
      </c>
      <c r="L64">
        <v>1</v>
      </c>
      <c r="M64" s="4">
        <v>2199</v>
      </c>
      <c r="N64" s="3">
        <v>0.2</v>
      </c>
      <c r="O64" s="5">
        <v>50</v>
      </c>
      <c r="P64" t="s">
        <v>31</v>
      </c>
      <c r="Q64" t="s">
        <v>32</v>
      </c>
      <c r="R64">
        <v>4.5</v>
      </c>
      <c r="S64" t="s">
        <v>33</v>
      </c>
      <c r="T64" s="5">
        <v>2199</v>
      </c>
      <c r="U64" s="5">
        <v>439.8</v>
      </c>
      <c r="V64" s="6">
        <v>1809.2</v>
      </c>
    </row>
    <row r="65" spans="1:22" x14ac:dyDescent="0.25">
      <c r="A65" t="s">
        <v>178</v>
      </c>
      <c r="B65" s="2">
        <v>46135</v>
      </c>
      <c r="C65" t="s">
        <v>46</v>
      </c>
      <c r="D65" t="s">
        <v>47</v>
      </c>
      <c r="E65" t="s">
        <v>37</v>
      </c>
      <c r="F65">
        <v>35</v>
      </c>
      <c r="G65" t="s">
        <v>53</v>
      </c>
      <c r="H65" t="s">
        <v>54</v>
      </c>
      <c r="I65" t="s">
        <v>55</v>
      </c>
      <c r="J65" t="s">
        <v>56</v>
      </c>
      <c r="K65" t="s">
        <v>57</v>
      </c>
      <c r="L65">
        <v>4</v>
      </c>
      <c r="M65" s="4">
        <v>2199</v>
      </c>
      <c r="N65" s="3">
        <v>0.15</v>
      </c>
      <c r="O65" s="5">
        <v>40</v>
      </c>
      <c r="P65" t="s">
        <v>31</v>
      </c>
      <c r="Q65" t="s">
        <v>32</v>
      </c>
      <c r="R65">
        <v>3</v>
      </c>
      <c r="S65" t="s">
        <v>44</v>
      </c>
      <c r="T65" s="5">
        <v>8796</v>
      </c>
      <c r="U65" s="5">
        <v>1319.4</v>
      </c>
      <c r="V65" s="6">
        <v>7516.6</v>
      </c>
    </row>
    <row r="66" spans="1:22" x14ac:dyDescent="0.25">
      <c r="A66" t="s">
        <v>179</v>
      </c>
      <c r="B66" s="2">
        <v>46061</v>
      </c>
      <c r="C66" t="s">
        <v>109</v>
      </c>
      <c r="D66" t="s">
        <v>110</v>
      </c>
      <c r="E66" t="s">
        <v>25</v>
      </c>
      <c r="F66">
        <v>27</v>
      </c>
      <c r="G66" t="s">
        <v>105</v>
      </c>
      <c r="H66" t="s">
        <v>27</v>
      </c>
      <c r="I66" t="s">
        <v>28</v>
      </c>
      <c r="J66" t="s">
        <v>74</v>
      </c>
      <c r="K66" t="s">
        <v>75</v>
      </c>
      <c r="L66">
        <v>1</v>
      </c>
      <c r="M66" s="4">
        <v>2899</v>
      </c>
      <c r="N66" s="3">
        <v>0.05</v>
      </c>
      <c r="O66" s="5">
        <v>40</v>
      </c>
      <c r="P66" t="s">
        <v>49</v>
      </c>
      <c r="Q66" t="s">
        <v>139</v>
      </c>
      <c r="R66">
        <v>5</v>
      </c>
      <c r="S66" t="s">
        <v>44</v>
      </c>
      <c r="T66" s="5">
        <v>2899</v>
      </c>
      <c r="U66" s="5">
        <v>144.94999999999999</v>
      </c>
      <c r="V66" s="6">
        <v>2794.05</v>
      </c>
    </row>
    <row r="67" spans="1:22" x14ac:dyDescent="0.25">
      <c r="A67" t="s">
        <v>180</v>
      </c>
      <c r="B67" s="2">
        <v>46120</v>
      </c>
      <c r="C67" t="s">
        <v>145</v>
      </c>
      <c r="D67" t="s">
        <v>146</v>
      </c>
      <c r="E67" t="s">
        <v>37</v>
      </c>
      <c r="F67">
        <v>38</v>
      </c>
      <c r="G67" t="s">
        <v>53</v>
      </c>
      <c r="H67" t="s">
        <v>54</v>
      </c>
      <c r="I67" t="s">
        <v>55</v>
      </c>
      <c r="J67" t="s">
        <v>74</v>
      </c>
      <c r="K67" t="s">
        <v>75</v>
      </c>
      <c r="L67">
        <v>2</v>
      </c>
      <c r="M67" s="4">
        <v>2899</v>
      </c>
      <c r="N67" s="3">
        <v>0.2</v>
      </c>
      <c r="O67" s="5">
        <v>80</v>
      </c>
      <c r="P67" t="s">
        <v>58</v>
      </c>
      <c r="Q67" t="s">
        <v>32</v>
      </c>
      <c r="R67">
        <v>4</v>
      </c>
      <c r="S67" t="s">
        <v>76</v>
      </c>
      <c r="T67" s="5">
        <v>5798</v>
      </c>
      <c r="U67" s="5">
        <v>1159.5999999999999</v>
      </c>
      <c r="V67" s="6">
        <v>4718.3999999999996</v>
      </c>
    </row>
    <row r="68" spans="1:22" x14ac:dyDescent="0.25">
      <c r="A68" t="s">
        <v>181</v>
      </c>
      <c r="B68" s="2">
        <v>46183</v>
      </c>
      <c r="C68" t="s">
        <v>145</v>
      </c>
      <c r="D68" t="s">
        <v>146</v>
      </c>
      <c r="E68" t="s">
        <v>25</v>
      </c>
      <c r="F68">
        <v>27</v>
      </c>
      <c r="G68" t="s">
        <v>26</v>
      </c>
      <c r="H68" t="s">
        <v>27</v>
      </c>
      <c r="I68" t="s">
        <v>28</v>
      </c>
      <c r="J68" t="s">
        <v>74</v>
      </c>
      <c r="K68" t="s">
        <v>75</v>
      </c>
      <c r="L68">
        <v>1</v>
      </c>
      <c r="M68" s="4">
        <v>2899</v>
      </c>
      <c r="N68" s="3">
        <v>0.05</v>
      </c>
      <c r="O68" s="5">
        <v>50</v>
      </c>
      <c r="P68" t="s">
        <v>31</v>
      </c>
      <c r="Q68" t="s">
        <v>32</v>
      </c>
      <c r="R68">
        <v>5</v>
      </c>
      <c r="S68" t="s">
        <v>33</v>
      </c>
      <c r="T68" s="5">
        <v>2899</v>
      </c>
      <c r="U68" s="5">
        <v>144.94999999999999</v>
      </c>
      <c r="V68" s="6">
        <v>2804.05</v>
      </c>
    </row>
    <row r="69" spans="1:22" x14ac:dyDescent="0.25">
      <c r="A69" t="s">
        <v>182</v>
      </c>
      <c r="B69" s="2">
        <v>46143</v>
      </c>
      <c r="C69" t="s">
        <v>84</v>
      </c>
      <c r="D69" t="s">
        <v>85</v>
      </c>
      <c r="E69" t="s">
        <v>37</v>
      </c>
      <c r="F69">
        <v>42</v>
      </c>
      <c r="G69" t="s">
        <v>26</v>
      </c>
      <c r="H69" t="s">
        <v>27</v>
      </c>
      <c r="I69" t="s">
        <v>28</v>
      </c>
      <c r="J69" t="s">
        <v>138</v>
      </c>
      <c r="K69" t="s">
        <v>57</v>
      </c>
      <c r="L69">
        <v>4</v>
      </c>
      <c r="M69" s="4">
        <v>1599</v>
      </c>
      <c r="N69" s="3">
        <v>0.2</v>
      </c>
      <c r="O69" s="5">
        <v>60</v>
      </c>
      <c r="P69" t="s">
        <v>82</v>
      </c>
      <c r="Q69" t="s">
        <v>32</v>
      </c>
      <c r="R69">
        <v>4.5</v>
      </c>
      <c r="S69" t="s">
        <v>33</v>
      </c>
      <c r="T69" s="5">
        <v>6396</v>
      </c>
      <c r="U69" s="5">
        <v>1279.2</v>
      </c>
      <c r="V69" s="6">
        <v>5176.8</v>
      </c>
    </row>
    <row r="70" spans="1:22" x14ac:dyDescent="0.25">
      <c r="A70" t="s">
        <v>183</v>
      </c>
      <c r="B70" s="2">
        <v>46052</v>
      </c>
      <c r="C70" t="s">
        <v>103</v>
      </c>
      <c r="D70" t="s">
        <v>104</v>
      </c>
      <c r="E70" t="s">
        <v>37</v>
      </c>
      <c r="F70">
        <v>24</v>
      </c>
      <c r="G70" t="s">
        <v>87</v>
      </c>
      <c r="H70" t="s">
        <v>87</v>
      </c>
      <c r="I70" t="s">
        <v>55</v>
      </c>
      <c r="J70" t="s">
        <v>88</v>
      </c>
      <c r="K70" t="s">
        <v>75</v>
      </c>
      <c r="L70">
        <v>2</v>
      </c>
      <c r="M70" s="4">
        <v>599</v>
      </c>
      <c r="N70" s="3">
        <v>0.15</v>
      </c>
      <c r="O70" s="5">
        <v>40</v>
      </c>
      <c r="P70" t="s">
        <v>82</v>
      </c>
      <c r="Q70" t="s">
        <v>32</v>
      </c>
      <c r="R70">
        <v>3</v>
      </c>
      <c r="S70" t="s">
        <v>33</v>
      </c>
      <c r="T70" s="5">
        <v>1198</v>
      </c>
      <c r="U70" s="5">
        <v>179.7</v>
      </c>
      <c r="V70" s="6">
        <v>1058.3</v>
      </c>
    </row>
    <row r="71" spans="1:22" x14ac:dyDescent="0.25">
      <c r="A71" t="s">
        <v>184</v>
      </c>
      <c r="B71" s="2">
        <v>46054</v>
      </c>
      <c r="C71" t="s">
        <v>128</v>
      </c>
      <c r="D71" t="s">
        <v>129</v>
      </c>
      <c r="E71" t="s">
        <v>37</v>
      </c>
      <c r="F71">
        <v>28</v>
      </c>
      <c r="G71" t="s">
        <v>53</v>
      </c>
      <c r="H71" t="s">
        <v>54</v>
      </c>
      <c r="I71" t="s">
        <v>55</v>
      </c>
      <c r="J71" t="s">
        <v>29</v>
      </c>
      <c r="K71" t="s">
        <v>30</v>
      </c>
      <c r="L71">
        <v>3</v>
      </c>
      <c r="M71" s="4">
        <v>899</v>
      </c>
      <c r="N71" s="3">
        <v>0.15</v>
      </c>
      <c r="O71" s="5">
        <v>100</v>
      </c>
      <c r="P71" t="s">
        <v>49</v>
      </c>
      <c r="Q71" t="s">
        <v>32</v>
      </c>
      <c r="R71">
        <v>5</v>
      </c>
      <c r="S71" t="s">
        <v>44</v>
      </c>
      <c r="T71" s="5">
        <v>2697</v>
      </c>
      <c r="U71" s="5">
        <v>404.55</v>
      </c>
      <c r="V71" s="6">
        <v>2392.4499999999998</v>
      </c>
    </row>
    <row r="72" spans="1:22" x14ac:dyDescent="0.25">
      <c r="A72" t="s">
        <v>185</v>
      </c>
      <c r="B72" s="2">
        <v>46211</v>
      </c>
      <c r="C72" t="s">
        <v>63</v>
      </c>
      <c r="D72" t="s">
        <v>64</v>
      </c>
      <c r="E72" t="s">
        <v>25</v>
      </c>
      <c r="F72">
        <v>22</v>
      </c>
      <c r="G72" t="s">
        <v>105</v>
      </c>
      <c r="H72" t="s">
        <v>27</v>
      </c>
      <c r="I72" t="s">
        <v>28</v>
      </c>
      <c r="J72" t="s">
        <v>74</v>
      </c>
      <c r="K72" t="s">
        <v>75</v>
      </c>
      <c r="L72">
        <v>1</v>
      </c>
      <c r="M72" s="4">
        <v>2899</v>
      </c>
      <c r="N72" s="3">
        <v>0.15</v>
      </c>
      <c r="O72" s="5">
        <v>50</v>
      </c>
      <c r="P72" t="s">
        <v>49</v>
      </c>
      <c r="Q72" t="s">
        <v>32</v>
      </c>
      <c r="R72">
        <v>5</v>
      </c>
      <c r="S72" t="s">
        <v>76</v>
      </c>
      <c r="T72" s="5">
        <v>2899</v>
      </c>
      <c r="U72" s="5">
        <v>434.85</v>
      </c>
      <c r="V72" s="6">
        <v>2514.15</v>
      </c>
    </row>
    <row r="73" spans="1:22" x14ac:dyDescent="0.25">
      <c r="A73" t="s">
        <v>186</v>
      </c>
      <c r="B73" s="2">
        <v>46143</v>
      </c>
      <c r="C73" t="s">
        <v>46</v>
      </c>
      <c r="D73" t="s">
        <v>47</v>
      </c>
      <c r="E73" t="s">
        <v>37</v>
      </c>
      <c r="F73">
        <v>25</v>
      </c>
      <c r="G73" t="s">
        <v>87</v>
      </c>
      <c r="H73" t="s">
        <v>87</v>
      </c>
      <c r="I73" t="s">
        <v>55</v>
      </c>
      <c r="J73" t="s">
        <v>74</v>
      </c>
      <c r="K73" t="s">
        <v>75</v>
      </c>
      <c r="L73">
        <v>1</v>
      </c>
      <c r="M73" s="4">
        <v>2899</v>
      </c>
      <c r="N73" s="3">
        <v>0.05</v>
      </c>
      <c r="O73" s="5">
        <v>100</v>
      </c>
      <c r="P73" t="s">
        <v>58</v>
      </c>
      <c r="Q73" t="s">
        <v>32</v>
      </c>
      <c r="R73">
        <v>4.5</v>
      </c>
      <c r="S73" t="s">
        <v>76</v>
      </c>
      <c r="T73" s="5">
        <v>2899</v>
      </c>
      <c r="U73" s="5">
        <v>144.94999999999999</v>
      </c>
      <c r="V73" s="6">
        <v>2854.05</v>
      </c>
    </row>
    <row r="74" spans="1:22" x14ac:dyDescent="0.25">
      <c r="A74" t="s">
        <v>187</v>
      </c>
      <c r="B74" s="2">
        <v>46108</v>
      </c>
      <c r="C74" t="s">
        <v>109</v>
      </c>
      <c r="D74" t="s">
        <v>110</v>
      </c>
      <c r="E74" t="s">
        <v>25</v>
      </c>
      <c r="F74">
        <v>30</v>
      </c>
      <c r="G74" t="s">
        <v>105</v>
      </c>
      <c r="H74" t="s">
        <v>27</v>
      </c>
      <c r="I74" t="s">
        <v>28</v>
      </c>
      <c r="J74" t="s">
        <v>111</v>
      </c>
      <c r="K74" t="s">
        <v>112</v>
      </c>
      <c r="L74">
        <v>3</v>
      </c>
      <c r="M74" s="4">
        <v>999</v>
      </c>
      <c r="N74" s="3">
        <v>0.15</v>
      </c>
      <c r="O74" s="5">
        <v>80</v>
      </c>
      <c r="P74" t="s">
        <v>31</v>
      </c>
      <c r="Q74" t="s">
        <v>32</v>
      </c>
      <c r="R74">
        <v>4.5</v>
      </c>
      <c r="S74" t="s">
        <v>44</v>
      </c>
      <c r="T74" s="5">
        <v>2997</v>
      </c>
      <c r="U74" s="5">
        <v>449.55</v>
      </c>
      <c r="V74" s="6">
        <v>2627.45</v>
      </c>
    </row>
    <row r="75" spans="1:22" x14ac:dyDescent="0.25">
      <c r="A75" t="s">
        <v>188</v>
      </c>
      <c r="B75" s="2">
        <v>46103</v>
      </c>
      <c r="C75" t="s">
        <v>153</v>
      </c>
      <c r="D75" t="s">
        <v>154</v>
      </c>
      <c r="E75" t="s">
        <v>37</v>
      </c>
      <c r="F75">
        <v>36</v>
      </c>
      <c r="G75" t="s">
        <v>80</v>
      </c>
      <c r="H75" t="s">
        <v>81</v>
      </c>
      <c r="I75" t="s">
        <v>40</v>
      </c>
      <c r="J75" t="s">
        <v>96</v>
      </c>
      <c r="K75" t="s">
        <v>69</v>
      </c>
      <c r="L75">
        <v>4</v>
      </c>
      <c r="M75" s="4">
        <v>2499</v>
      </c>
      <c r="N75" s="3">
        <v>0</v>
      </c>
      <c r="O75" s="5">
        <v>40</v>
      </c>
      <c r="P75" t="s">
        <v>31</v>
      </c>
      <c r="Q75" t="s">
        <v>32</v>
      </c>
      <c r="R75">
        <v>5</v>
      </c>
      <c r="S75" t="s">
        <v>44</v>
      </c>
      <c r="T75" s="5">
        <v>9996</v>
      </c>
      <c r="U75" s="5">
        <v>0</v>
      </c>
      <c r="V75" s="6">
        <v>10036</v>
      </c>
    </row>
    <row r="76" spans="1:22" x14ac:dyDescent="0.25">
      <c r="A76" t="s">
        <v>189</v>
      </c>
      <c r="B76" s="2">
        <v>46216</v>
      </c>
      <c r="C76" t="s">
        <v>118</v>
      </c>
      <c r="D76" t="s">
        <v>119</v>
      </c>
      <c r="E76" t="s">
        <v>25</v>
      </c>
      <c r="F76">
        <v>26</v>
      </c>
      <c r="G76" t="s">
        <v>26</v>
      </c>
      <c r="H76" t="s">
        <v>27</v>
      </c>
      <c r="I76" t="s">
        <v>28</v>
      </c>
      <c r="J76" t="s">
        <v>41</v>
      </c>
      <c r="K76" t="s">
        <v>42</v>
      </c>
      <c r="L76">
        <v>3</v>
      </c>
      <c r="M76" s="4">
        <v>1299</v>
      </c>
      <c r="N76" s="3">
        <v>0.2</v>
      </c>
      <c r="O76" s="5">
        <v>60</v>
      </c>
      <c r="P76" t="s">
        <v>58</v>
      </c>
      <c r="Q76" t="s">
        <v>32</v>
      </c>
      <c r="R76">
        <v>5</v>
      </c>
      <c r="S76" t="s">
        <v>33</v>
      </c>
      <c r="T76" s="5">
        <v>3897</v>
      </c>
      <c r="U76" s="5">
        <v>779.40000000000009</v>
      </c>
      <c r="V76" s="6">
        <v>3177.6</v>
      </c>
    </row>
    <row r="77" spans="1:22" x14ac:dyDescent="0.25">
      <c r="A77" t="s">
        <v>190</v>
      </c>
      <c r="B77" s="2">
        <v>46030</v>
      </c>
      <c r="C77" t="s">
        <v>128</v>
      </c>
      <c r="D77" t="s">
        <v>129</v>
      </c>
      <c r="E77" t="s">
        <v>25</v>
      </c>
      <c r="F77">
        <v>42</v>
      </c>
      <c r="G77" t="s">
        <v>94</v>
      </c>
      <c r="H77" t="s">
        <v>95</v>
      </c>
      <c r="I77" t="s">
        <v>67</v>
      </c>
      <c r="J77" t="s">
        <v>29</v>
      </c>
      <c r="K77" t="s">
        <v>30</v>
      </c>
      <c r="L77">
        <v>4</v>
      </c>
      <c r="M77" s="4">
        <v>899</v>
      </c>
      <c r="N77" s="3">
        <v>0</v>
      </c>
      <c r="O77" s="5">
        <v>50</v>
      </c>
      <c r="P77" t="s">
        <v>43</v>
      </c>
      <c r="Q77" t="s">
        <v>97</v>
      </c>
      <c r="R77">
        <v>4</v>
      </c>
      <c r="S77" t="s">
        <v>76</v>
      </c>
      <c r="T77" s="5">
        <v>3596</v>
      </c>
      <c r="U77" s="5">
        <v>0</v>
      </c>
      <c r="V77" s="6">
        <v>3646</v>
      </c>
    </row>
    <row r="78" spans="1:22" x14ac:dyDescent="0.25">
      <c r="A78" t="s">
        <v>191</v>
      </c>
      <c r="B78" s="2">
        <v>46238</v>
      </c>
      <c r="C78" t="s">
        <v>46</v>
      </c>
      <c r="D78" t="s">
        <v>47</v>
      </c>
      <c r="E78" t="s">
        <v>25</v>
      </c>
      <c r="F78">
        <v>40</v>
      </c>
      <c r="G78" t="s">
        <v>80</v>
      </c>
      <c r="H78" t="s">
        <v>81</v>
      </c>
      <c r="I78" t="s">
        <v>40</v>
      </c>
      <c r="J78" t="s">
        <v>138</v>
      </c>
      <c r="K78" t="s">
        <v>57</v>
      </c>
      <c r="L78">
        <v>1</v>
      </c>
      <c r="M78" s="4">
        <v>1599</v>
      </c>
      <c r="N78" s="3">
        <v>0.05</v>
      </c>
      <c r="O78" s="5">
        <v>50</v>
      </c>
      <c r="P78" t="s">
        <v>58</v>
      </c>
      <c r="Q78" t="s">
        <v>116</v>
      </c>
      <c r="R78">
        <v>4.5</v>
      </c>
      <c r="S78" t="s">
        <v>76</v>
      </c>
      <c r="T78" s="5">
        <v>1599</v>
      </c>
      <c r="U78" s="5">
        <v>79.95</v>
      </c>
      <c r="V78" s="6">
        <v>1569.05</v>
      </c>
    </row>
    <row r="79" spans="1:22" x14ac:dyDescent="0.25">
      <c r="A79" t="s">
        <v>192</v>
      </c>
      <c r="B79" s="2">
        <v>46236</v>
      </c>
      <c r="C79" t="s">
        <v>128</v>
      </c>
      <c r="D79" t="s">
        <v>129</v>
      </c>
      <c r="E79" t="s">
        <v>25</v>
      </c>
      <c r="F79">
        <v>34</v>
      </c>
      <c r="G79" t="s">
        <v>80</v>
      </c>
      <c r="H79" t="s">
        <v>81</v>
      </c>
      <c r="I79" t="s">
        <v>40</v>
      </c>
      <c r="J79" t="s">
        <v>29</v>
      </c>
      <c r="K79" t="s">
        <v>30</v>
      </c>
      <c r="L79">
        <v>3</v>
      </c>
      <c r="M79" s="4">
        <v>899</v>
      </c>
      <c r="N79" s="3">
        <v>0.15</v>
      </c>
      <c r="O79" s="5">
        <v>100</v>
      </c>
      <c r="P79" t="s">
        <v>58</v>
      </c>
      <c r="Q79" t="s">
        <v>32</v>
      </c>
      <c r="R79">
        <v>3.5</v>
      </c>
      <c r="S79" t="s">
        <v>44</v>
      </c>
      <c r="T79" s="5">
        <v>2697</v>
      </c>
      <c r="U79" s="5">
        <v>404.55</v>
      </c>
      <c r="V79" s="6">
        <v>2392.4499999999998</v>
      </c>
    </row>
    <row r="80" spans="1:22" x14ac:dyDescent="0.25">
      <c r="A80" t="s">
        <v>193</v>
      </c>
      <c r="B80" s="2">
        <v>46093</v>
      </c>
      <c r="C80" t="s">
        <v>100</v>
      </c>
      <c r="D80" t="s">
        <v>101</v>
      </c>
      <c r="E80" t="s">
        <v>37</v>
      </c>
      <c r="F80">
        <v>45</v>
      </c>
      <c r="G80" t="s">
        <v>53</v>
      </c>
      <c r="H80" t="s">
        <v>54</v>
      </c>
      <c r="I80" t="s">
        <v>55</v>
      </c>
      <c r="J80" t="s">
        <v>136</v>
      </c>
      <c r="K80" t="s">
        <v>112</v>
      </c>
      <c r="L80">
        <v>2</v>
      </c>
      <c r="M80" s="4">
        <v>399</v>
      </c>
      <c r="N80" s="3">
        <v>0</v>
      </c>
      <c r="O80" s="5">
        <v>100</v>
      </c>
      <c r="P80" t="s">
        <v>58</v>
      </c>
      <c r="Q80" t="s">
        <v>32</v>
      </c>
      <c r="R80">
        <v>4</v>
      </c>
      <c r="S80" t="s">
        <v>33</v>
      </c>
      <c r="T80" s="5">
        <v>798</v>
      </c>
      <c r="U80" s="5">
        <v>0</v>
      </c>
      <c r="V80" s="6">
        <v>898</v>
      </c>
    </row>
    <row r="81" spans="1:22" x14ac:dyDescent="0.25">
      <c r="A81" t="s">
        <v>194</v>
      </c>
      <c r="B81" s="2">
        <v>46137</v>
      </c>
      <c r="C81" t="s">
        <v>128</v>
      </c>
      <c r="D81" t="s">
        <v>129</v>
      </c>
      <c r="E81" t="s">
        <v>37</v>
      </c>
      <c r="F81">
        <v>37</v>
      </c>
      <c r="G81" t="s">
        <v>87</v>
      </c>
      <c r="H81" t="s">
        <v>87</v>
      </c>
      <c r="I81" t="s">
        <v>55</v>
      </c>
      <c r="J81" t="s">
        <v>74</v>
      </c>
      <c r="K81" t="s">
        <v>75</v>
      </c>
      <c r="L81">
        <v>4</v>
      </c>
      <c r="M81" s="4">
        <v>2899</v>
      </c>
      <c r="N81" s="3">
        <v>0.05</v>
      </c>
      <c r="O81" s="5">
        <v>100</v>
      </c>
      <c r="P81" t="s">
        <v>49</v>
      </c>
      <c r="Q81" t="s">
        <v>32</v>
      </c>
      <c r="R81">
        <v>4.5</v>
      </c>
      <c r="S81" t="s">
        <v>44</v>
      </c>
      <c r="T81" s="5">
        <v>11596</v>
      </c>
      <c r="U81" s="5">
        <v>579.80000000000007</v>
      </c>
      <c r="V81" s="6">
        <v>11116.2</v>
      </c>
    </row>
    <row r="82" spans="1:22" x14ac:dyDescent="0.25">
      <c r="A82" t="s">
        <v>195</v>
      </c>
      <c r="B82" s="2">
        <v>46121</v>
      </c>
      <c r="C82" t="s">
        <v>92</v>
      </c>
      <c r="D82" t="s">
        <v>93</v>
      </c>
      <c r="E82" t="s">
        <v>25</v>
      </c>
      <c r="F82">
        <v>30</v>
      </c>
      <c r="G82" t="s">
        <v>38</v>
      </c>
      <c r="H82" t="s">
        <v>39</v>
      </c>
      <c r="I82" t="s">
        <v>40</v>
      </c>
      <c r="J82" t="s">
        <v>29</v>
      </c>
      <c r="K82" t="s">
        <v>30</v>
      </c>
      <c r="L82">
        <v>2</v>
      </c>
      <c r="M82" s="4">
        <v>899</v>
      </c>
      <c r="N82" s="3">
        <v>0.2</v>
      </c>
      <c r="O82" s="5">
        <v>120</v>
      </c>
      <c r="P82" t="s">
        <v>58</v>
      </c>
      <c r="Q82" t="s">
        <v>32</v>
      </c>
      <c r="R82">
        <v>4.5</v>
      </c>
      <c r="S82" t="s">
        <v>76</v>
      </c>
      <c r="T82" s="5">
        <v>1798</v>
      </c>
      <c r="U82" s="5">
        <v>359.6</v>
      </c>
      <c r="V82" s="6">
        <v>1558.4</v>
      </c>
    </row>
    <row r="83" spans="1:22" x14ac:dyDescent="0.25">
      <c r="A83" t="s">
        <v>196</v>
      </c>
      <c r="B83" s="2">
        <v>46032</v>
      </c>
      <c r="C83" t="s">
        <v>153</v>
      </c>
      <c r="D83" t="s">
        <v>154</v>
      </c>
      <c r="E83" t="s">
        <v>37</v>
      </c>
      <c r="F83">
        <v>23</v>
      </c>
      <c r="G83" t="s">
        <v>71</v>
      </c>
      <c r="H83" t="s">
        <v>72</v>
      </c>
      <c r="I83" t="s">
        <v>67</v>
      </c>
      <c r="J83" t="s">
        <v>88</v>
      </c>
      <c r="K83" t="s">
        <v>75</v>
      </c>
      <c r="L83">
        <v>2</v>
      </c>
      <c r="M83" s="4">
        <v>599</v>
      </c>
      <c r="N83" s="3">
        <v>0.15</v>
      </c>
      <c r="O83" s="5">
        <v>80</v>
      </c>
      <c r="P83" t="s">
        <v>43</v>
      </c>
      <c r="Q83" t="s">
        <v>32</v>
      </c>
      <c r="R83">
        <v>3</v>
      </c>
      <c r="S83" t="s">
        <v>76</v>
      </c>
      <c r="T83" s="5">
        <v>1198</v>
      </c>
      <c r="U83" s="5">
        <v>179.7</v>
      </c>
      <c r="V83" s="6">
        <v>1098.3</v>
      </c>
    </row>
    <row r="84" spans="1:22" x14ac:dyDescent="0.25">
      <c r="A84" t="s">
        <v>197</v>
      </c>
      <c r="B84" s="2">
        <v>46245</v>
      </c>
      <c r="C84" t="s">
        <v>63</v>
      </c>
      <c r="D84" t="s">
        <v>64</v>
      </c>
      <c r="E84" t="s">
        <v>25</v>
      </c>
      <c r="F84">
        <v>35</v>
      </c>
      <c r="G84" t="s">
        <v>26</v>
      </c>
      <c r="H84" t="s">
        <v>27</v>
      </c>
      <c r="I84" t="s">
        <v>28</v>
      </c>
      <c r="J84" t="s">
        <v>29</v>
      </c>
      <c r="K84" t="s">
        <v>30</v>
      </c>
      <c r="L84">
        <v>2</v>
      </c>
      <c r="M84" s="4">
        <v>899</v>
      </c>
      <c r="N84" s="3">
        <v>0.15</v>
      </c>
      <c r="O84" s="5">
        <v>60</v>
      </c>
      <c r="P84" t="s">
        <v>82</v>
      </c>
      <c r="Q84" t="s">
        <v>32</v>
      </c>
      <c r="R84">
        <v>4</v>
      </c>
      <c r="S84" t="s">
        <v>76</v>
      </c>
      <c r="T84" s="5">
        <v>1798</v>
      </c>
      <c r="U84" s="5">
        <v>269.7</v>
      </c>
      <c r="V84" s="6">
        <v>1588.3</v>
      </c>
    </row>
    <row r="85" spans="1:22" x14ac:dyDescent="0.25">
      <c r="A85" t="s">
        <v>198</v>
      </c>
      <c r="B85" s="2">
        <v>46183</v>
      </c>
      <c r="C85" t="s">
        <v>153</v>
      </c>
      <c r="D85" t="s">
        <v>154</v>
      </c>
      <c r="E85" t="s">
        <v>25</v>
      </c>
      <c r="F85">
        <v>39</v>
      </c>
      <c r="G85" t="s">
        <v>105</v>
      </c>
      <c r="H85" t="s">
        <v>27</v>
      </c>
      <c r="I85" t="s">
        <v>28</v>
      </c>
      <c r="J85" t="s">
        <v>106</v>
      </c>
      <c r="K85" t="s">
        <v>57</v>
      </c>
      <c r="L85">
        <v>4</v>
      </c>
      <c r="M85" s="4">
        <v>699</v>
      </c>
      <c r="N85" s="3">
        <v>0.1</v>
      </c>
      <c r="O85" s="5">
        <v>40</v>
      </c>
      <c r="P85" t="s">
        <v>58</v>
      </c>
      <c r="Q85" t="s">
        <v>32</v>
      </c>
      <c r="R85">
        <v>3.5</v>
      </c>
      <c r="S85" t="s">
        <v>76</v>
      </c>
      <c r="T85" s="5">
        <v>2796</v>
      </c>
      <c r="U85" s="5">
        <v>279.60000000000002</v>
      </c>
      <c r="V85" s="6">
        <v>2556.4</v>
      </c>
    </row>
    <row r="86" spans="1:22" x14ac:dyDescent="0.25">
      <c r="A86" t="s">
        <v>199</v>
      </c>
      <c r="B86" s="2">
        <v>46048</v>
      </c>
      <c r="C86" t="s">
        <v>128</v>
      </c>
      <c r="D86" t="s">
        <v>129</v>
      </c>
      <c r="E86" t="s">
        <v>37</v>
      </c>
      <c r="F86">
        <v>25</v>
      </c>
      <c r="G86" t="s">
        <v>38</v>
      </c>
      <c r="H86" t="s">
        <v>39</v>
      </c>
      <c r="I86" t="s">
        <v>40</v>
      </c>
      <c r="J86" t="s">
        <v>29</v>
      </c>
      <c r="K86" t="s">
        <v>30</v>
      </c>
      <c r="L86">
        <v>1</v>
      </c>
      <c r="M86" s="4">
        <v>899</v>
      </c>
      <c r="N86" s="3">
        <v>0.15</v>
      </c>
      <c r="O86" s="5">
        <v>120</v>
      </c>
      <c r="P86" t="s">
        <v>31</v>
      </c>
      <c r="Q86" t="s">
        <v>32</v>
      </c>
      <c r="R86">
        <v>4</v>
      </c>
      <c r="S86" t="s">
        <v>33</v>
      </c>
      <c r="T86" s="5">
        <v>899</v>
      </c>
      <c r="U86" s="5">
        <v>134.85</v>
      </c>
      <c r="V86" s="6">
        <v>884.15</v>
      </c>
    </row>
    <row r="87" spans="1:22" x14ac:dyDescent="0.25">
      <c r="A87" t="s">
        <v>200</v>
      </c>
      <c r="B87" s="2">
        <v>46118</v>
      </c>
      <c r="C87" t="s">
        <v>114</v>
      </c>
      <c r="D87" t="s">
        <v>115</v>
      </c>
      <c r="E87" t="s">
        <v>37</v>
      </c>
      <c r="F87">
        <v>38</v>
      </c>
      <c r="G87" t="s">
        <v>65</v>
      </c>
      <c r="H87" t="s">
        <v>66</v>
      </c>
      <c r="I87" t="s">
        <v>67</v>
      </c>
      <c r="J87" t="s">
        <v>96</v>
      </c>
      <c r="K87" t="s">
        <v>69</v>
      </c>
      <c r="L87">
        <v>3</v>
      </c>
      <c r="M87" s="4">
        <v>2499</v>
      </c>
      <c r="N87" s="3">
        <v>0.1</v>
      </c>
      <c r="O87" s="5">
        <v>120</v>
      </c>
      <c r="P87" t="s">
        <v>82</v>
      </c>
      <c r="Q87" t="s">
        <v>32</v>
      </c>
      <c r="R87">
        <v>3.5</v>
      </c>
      <c r="S87" t="s">
        <v>33</v>
      </c>
      <c r="T87" s="5">
        <v>7497</v>
      </c>
      <c r="U87" s="5">
        <v>749.7</v>
      </c>
      <c r="V87" s="6">
        <v>6867.3</v>
      </c>
    </row>
    <row r="88" spans="1:22" x14ac:dyDescent="0.25">
      <c r="A88" t="s">
        <v>201</v>
      </c>
      <c r="B88" s="2">
        <v>46197</v>
      </c>
      <c r="C88" t="s">
        <v>84</v>
      </c>
      <c r="D88" t="s">
        <v>85</v>
      </c>
      <c r="E88" t="s">
        <v>25</v>
      </c>
      <c r="F88">
        <v>27</v>
      </c>
      <c r="G88" t="s">
        <v>105</v>
      </c>
      <c r="H88" t="s">
        <v>27</v>
      </c>
      <c r="I88" t="s">
        <v>28</v>
      </c>
      <c r="J88" t="s">
        <v>74</v>
      </c>
      <c r="K88" t="s">
        <v>75</v>
      </c>
      <c r="L88">
        <v>4</v>
      </c>
      <c r="M88" s="4">
        <v>2899</v>
      </c>
      <c r="N88" s="3">
        <v>0.2</v>
      </c>
      <c r="O88" s="5">
        <v>80</v>
      </c>
      <c r="P88" t="s">
        <v>43</v>
      </c>
      <c r="Q88" t="s">
        <v>32</v>
      </c>
      <c r="R88">
        <v>4</v>
      </c>
      <c r="S88" t="s">
        <v>44</v>
      </c>
      <c r="T88" s="5">
        <v>11596</v>
      </c>
      <c r="U88" s="5">
        <v>2319.1999999999998</v>
      </c>
      <c r="V88" s="6">
        <v>9356.7999999999993</v>
      </c>
    </row>
    <row r="89" spans="1:22" x14ac:dyDescent="0.25">
      <c r="A89" t="s">
        <v>202</v>
      </c>
      <c r="B89" s="2">
        <v>46063</v>
      </c>
      <c r="C89" t="s">
        <v>122</v>
      </c>
      <c r="D89" t="s">
        <v>123</v>
      </c>
      <c r="E89" t="s">
        <v>37</v>
      </c>
      <c r="F89">
        <v>40</v>
      </c>
      <c r="G89" t="s">
        <v>26</v>
      </c>
      <c r="H89" t="s">
        <v>27</v>
      </c>
      <c r="I89" t="s">
        <v>28</v>
      </c>
      <c r="J89" t="s">
        <v>111</v>
      </c>
      <c r="K89" t="s">
        <v>112</v>
      </c>
      <c r="L89">
        <v>3</v>
      </c>
      <c r="M89" s="4">
        <v>999</v>
      </c>
      <c r="N89" s="3">
        <v>0.2</v>
      </c>
      <c r="O89" s="5">
        <v>80</v>
      </c>
      <c r="P89" t="s">
        <v>49</v>
      </c>
      <c r="Q89" t="s">
        <v>32</v>
      </c>
      <c r="R89">
        <v>4</v>
      </c>
      <c r="S89" t="s">
        <v>44</v>
      </c>
      <c r="T89" s="5">
        <v>2997</v>
      </c>
      <c r="U89" s="5">
        <v>599.4</v>
      </c>
      <c r="V89" s="6">
        <v>2477.6</v>
      </c>
    </row>
    <row r="90" spans="1:22" x14ac:dyDescent="0.25">
      <c r="A90" t="s">
        <v>203</v>
      </c>
      <c r="B90" s="2">
        <v>46083</v>
      </c>
      <c r="C90" t="s">
        <v>128</v>
      </c>
      <c r="D90" t="s">
        <v>129</v>
      </c>
      <c r="E90" t="s">
        <v>37</v>
      </c>
      <c r="F90">
        <v>42</v>
      </c>
      <c r="G90" t="s">
        <v>38</v>
      </c>
      <c r="H90" t="s">
        <v>39</v>
      </c>
      <c r="I90" t="s">
        <v>40</v>
      </c>
      <c r="J90" t="s">
        <v>138</v>
      </c>
      <c r="K90" t="s">
        <v>57</v>
      </c>
      <c r="L90">
        <v>4</v>
      </c>
      <c r="M90" s="4">
        <v>1599</v>
      </c>
      <c r="N90" s="3">
        <v>0</v>
      </c>
      <c r="O90" s="5">
        <v>60</v>
      </c>
      <c r="P90" t="s">
        <v>49</v>
      </c>
      <c r="Q90" t="s">
        <v>32</v>
      </c>
      <c r="R90">
        <v>3</v>
      </c>
      <c r="S90" t="s">
        <v>76</v>
      </c>
      <c r="T90" s="5">
        <v>6396</v>
      </c>
      <c r="U90" s="5">
        <v>0</v>
      </c>
      <c r="V90" s="6">
        <v>6456</v>
      </c>
    </row>
    <row r="91" spans="1:22" x14ac:dyDescent="0.25">
      <c r="A91" t="s">
        <v>204</v>
      </c>
      <c r="B91" s="2">
        <v>46213</v>
      </c>
      <c r="C91" t="s">
        <v>153</v>
      </c>
      <c r="D91" t="s">
        <v>154</v>
      </c>
      <c r="E91" t="s">
        <v>25</v>
      </c>
      <c r="F91">
        <v>39</v>
      </c>
      <c r="G91" t="s">
        <v>87</v>
      </c>
      <c r="H91" t="s">
        <v>87</v>
      </c>
      <c r="I91" t="s">
        <v>55</v>
      </c>
      <c r="J91" t="s">
        <v>96</v>
      </c>
      <c r="K91" t="s">
        <v>69</v>
      </c>
      <c r="L91">
        <v>1</v>
      </c>
      <c r="M91" s="4">
        <v>2499</v>
      </c>
      <c r="N91" s="3">
        <v>0.2</v>
      </c>
      <c r="O91" s="5">
        <v>60</v>
      </c>
      <c r="P91" t="s">
        <v>49</v>
      </c>
      <c r="Q91" t="s">
        <v>32</v>
      </c>
      <c r="R91">
        <v>3.5</v>
      </c>
      <c r="S91" t="s">
        <v>76</v>
      </c>
      <c r="T91" s="5">
        <v>2499</v>
      </c>
      <c r="U91" s="5">
        <v>499.8</v>
      </c>
      <c r="V91" s="6">
        <v>2059.1999999999998</v>
      </c>
    </row>
    <row r="92" spans="1:22" x14ac:dyDescent="0.25">
      <c r="A92" t="s">
        <v>205</v>
      </c>
      <c r="B92" s="2">
        <v>46254</v>
      </c>
      <c r="C92" t="s">
        <v>100</v>
      </c>
      <c r="D92" t="s">
        <v>101</v>
      </c>
      <c r="E92" t="s">
        <v>37</v>
      </c>
      <c r="F92">
        <v>45</v>
      </c>
      <c r="G92" t="s">
        <v>53</v>
      </c>
      <c r="H92" t="s">
        <v>54</v>
      </c>
      <c r="I92" t="s">
        <v>55</v>
      </c>
      <c r="J92" t="s">
        <v>56</v>
      </c>
      <c r="K92" t="s">
        <v>57</v>
      </c>
      <c r="L92">
        <v>2</v>
      </c>
      <c r="M92" s="4">
        <v>2199</v>
      </c>
      <c r="N92" s="3">
        <v>0</v>
      </c>
      <c r="O92" s="5">
        <v>80</v>
      </c>
      <c r="P92" t="s">
        <v>31</v>
      </c>
      <c r="Q92" t="s">
        <v>32</v>
      </c>
      <c r="R92">
        <v>3</v>
      </c>
      <c r="S92" t="s">
        <v>76</v>
      </c>
      <c r="T92" s="5">
        <v>4398</v>
      </c>
      <c r="U92" s="5">
        <v>0</v>
      </c>
      <c r="V92" s="6">
        <v>4478</v>
      </c>
    </row>
    <row r="93" spans="1:22" x14ac:dyDescent="0.25">
      <c r="A93" t="s">
        <v>206</v>
      </c>
      <c r="B93" s="2">
        <v>46214</v>
      </c>
      <c r="C93" t="s">
        <v>51</v>
      </c>
      <c r="D93" t="s">
        <v>52</v>
      </c>
      <c r="E93" t="s">
        <v>25</v>
      </c>
      <c r="F93">
        <v>45</v>
      </c>
      <c r="G93" t="s">
        <v>48</v>
      </c>
      <c r="H93" t="s">
        <v>39</v>
      </c>
      <c r="I93" t="s">
        <v>40</v>
      </c>
      <c r="J93" t="s">
        <v>90</v>
      </c>
      <c r="K93" t="s">
        <v>69</v>
      </c>
      <c r="L93">
        <v>3</v>
      </c>
      <c r="M93" s="4">
        <v>1799</v>
      </c>
      <c r="N93" s="3">
        <v>0.1</v>
      </c>
      <c r="O93" s="5">
        <v>100</v>
      </c>
      <c r="P93" t="s">
        <v>82</v>
      </c>
      <c r="Q93" t="s">
        <v>32</v>
      </c>
      <c r="R93">
        <v>4</v>
      </c>
      <c r="S93" t="s">
        <v>76</v>
      </c>
      <c r="T93" s="5">
        <v>5397</v>
      </c>
      <c r="U93" s="5">
        <v>539.70000000000005</v>
      </c>
      <c r="V93" s="6">
        <v>4957.3</v>
      </c>
    </row>
    <row r="94" spans="1:22" x14ac:dyDescent="0.25">
      <c r="A94" t="s">
        <v>207</v>
      </c>
      <c r="B94" s="2">
        <v>46229</v>
      </c>
      <c r="C94" t="s">
        <v>142</v>
      </c>
      <c r="D94" t="s">
        <v>143</v>
      </c>
      <c r="E94" t="s">
        <v>25</v>
      </c>
      <c r="F94">
        <v>34</v>
      </c>
      <c r="G94" t="s">
        <v>87</v>
      </c>
      <c r="H94" t="s">
        <v>87</v>
      </c>
      <c r="I94" t="s">
        <v>55</v>
      </c>
      <c r="J94" t="s">
        <v>68</v>
      </c>
      <c r="K94" t="s">
        <v>69</v>
      </c>
      <c r="L94">
        <v>3</v>
      </c>
      <c r="M94" s="4">
        <v>3299</v>
      </c>
      <c r="N94" s="3">
        <v>0.15</v>
      </c>
      <c r="O94" s="5">
        <v>40</v>
      </c>
      <c r="P94" t="s">
        <v>49</v>
      </c>
      <c r="Q94" t="s">
        <v>32</v>
      </c>
      <c r="R94">
        <v>3.5</v>
      </c>
      <c r="S94" t="s">
        <v>33</v>
      </c>
      <c r="T94" s="5">
        <v>9897</v>
      </c>
      <c r="U94" s="5">
        <v>1484.55</v>
      </c>
      <c r="V94" s="6">
        <v>8452.4500000000007</v>
      </c>
    </row>
    <row r="95" spans="1:22" x14ac:dyDescent="0.25">
      <c r="A95" t="s">
        <v>208</v>
      </c>
      <c r="B95" s="2">
        <v>46026</v>
      </c>
      <c r="C95" t="s">
        <v>153</v>
      </c>
      <c r="D95" t="s">
        <v>154</v>
      </c>
      <c r="E95" t="s">
        <v>37</v>
      </c>
      <c r="F95">
        <v>31</v>
      </c>
      <c r="G95" t="s">
        <v>80</v>
      </c>
      <c r="H95" t="s">
        <v>81</v>
      </c>
      <c r="I95" t="s">
        <v>40</v>
      </c>
      <c r="J95" t="s">
        <v>106</v>
      </c>
      <c r="K95" t="s">
        <v>57</v>
      </c>
      <c r="L95">
        <v>1</v>
      </c>
      <c r="M95" s="4">
        <v>699</v>
      </c>
      <c r="N95" s="3">
        <v>0.15</v>
      </c>
      <c r="O95" s="5">
        <v>120</v>
      </c>
      <c r="P95" t="s">
        <v>31</v>
      </c>
      <c r="Q95" t="s">
        <v>32</v>
      </c>
      <c r="R95">
        <v>4</v>
      </c>
      <c r="S95" t="s">
        <v>76</v>
      </c>
      <c r="T95" s="5">
        <v>699</v>
      </c>
      <c r="U95" s="5">
        <v>104.85</v>
      </c>
      <c r="V95" s="6">
        <v>714.15</v>
      </c>
    </row>
    <row r="96" spans="1:22" x14ac:dyDescent="0.25">
      <c r="A96" t="s">
        <v>209</v>
      </c>
      <c r="B96" s="2">
        <v>46029</v>
      </c>
      <c r="C96" t="s">
        <v>153</v>
      </c>
      <c r="D96" t="s">
        <v>154</v>
      </c>
      <c r="E96" t="s">
        <v>37</v>
      </c>
      <c r="F96">
        <v>39</v>
      </c>
      <c r="G96" t="s">
        <v>65</v>
      </c>
      <c r="H96" t="s">
        <v>66</v>
      </c>
      <c r="I96" t="s">
        <v>67</v>
      </c>
      <c r="J96" t="s">
        <v>90</v>
      </c>
      <c r="K96" t="s">
        <v>69</v>
      </c>
      <c r="L96">
        <v>2</v>
      </c>
      <c r="M96" s="4">
        <v>1799</v>
      </c>
      <c r="N96" s="3">
        <v>0.15</v>
      </c>
      <c r="O96" s="5">
        <v>50</v>
      </c>
      <c r="P96" t="s">
        <v>43</v>
      </c>
      <c r="Q96" t="s">
        <v>32</v>
      </c>
      <c r="R96">
        <v>3</v>
      </c>
      <c r="S96" t="s">
        <v>76</v>
      </c>
      <c r="T96" s="5">
        <v>3598</v>
      </c>
      <c r="U96" s="5">
        <v>539.69999999999993</v>
      </c>
      <c r="V96" s="6">
        <v>3108.3</v>
      </c>
    </row>
    <row r="97" spans="1:22" x14ac:dyDescent="0.25">
      <c r="A97" t="s">
        <v>210</v>
      </c>
      <c r="B97" s="2">
        <v>46058</v>
      </c>
      <c r="C97" t="s">
        <v>63</v>
      </c>
      <c r="D97" t="s">
        <v>64</v>
      </c>
      <c r="E97" t="s">
        <v>37</v>
      </c>
      <c r="F97">
        <v>35</v>
      </c>
      <c r="G97" t="s">
        <v>87</v>
      </c>
      <c r="H97" t="s">
        <v>87</v>
      </c>
      <c r="I97" t="s">
        <v>55</v>
      </c>
      <c r="J97" t="s">
        <v>88</v>
      </c>
      <c r="K97" t="s">
        <v>75</v>
      </c>
      <c r="L97">
        <v>4</v>
      </c>
      <c r="M97" s="4">
        <v>599</v>
      </c>
      <c r="N97" s="3">
        <v>0</v>
      </c>
      <c r="O97" s="5">
        <v>40</v>
      </c>
      <c r="P97" t="s">
        <v>31</v>
      </c>
      <c r="Q97" t="s">
        <v>32</v>
      </c>
      <c r="R97">
        <v>3</v>
      </c>
      <c r="S97" t="s">
        <v>33</v>
      </c>
      <c r="T97" s="5">
        <v>2396</v>
      </c>
      <c r="U97" s="5">
        <v>0</v>
      </c>
      <c r="V97" s="6">
        <v>2436</v>
      </c>
    </row>
    <row r="98" spans="1:22" x14ac:dyDescent="0.25">
      <c r="A98" t="s">
        <v>211</v>
      </c>
      <c r="B98" s="2">
        <v>46194</v>
      </c>
      <c r="C98" t="s">
        <v>78</v>
      </c>
      <c r="D98" t="s">
        <v>79</v>
      </c>
      <c r="E98" t="s">
        <v>37</v>
      </c>
      <c r="F98">
        <v>38</v>
      </c>
      <c r="G98" t="s">
        <v>48</v>
      </c>
      <c r="H98" t="s">
        <v>39</v>
      </c>
      <c r="I98" t="s">
        <v>40</v>
      </c>
      <c r="J98" t="s">
        <v>138</v>
      </c>
      <c r="K98" t="s">
        <v>57</v>
      </c>
      <c r="L98">
        <v>4</v>
      </c>
      <c r="M98" s="4">
        <v>1599</v>
      </c>
      <c r="N98" s="3">
        <v>0.1</v>
      </c>
      <c r="O98" s="5">
        <v>120</v>
      </c>
      <c r="P98" t="s">
        <v>43</v>
      </c>
      <c r="Q98" t="s">
        <v>97</v>
      </c>
      <c r="R98">
        <v>3.5</v>
      </c>
      <c r="S98" t="s">
        <v>44</v>
      </c>
      <c r="T98" s="5">
        <v>6396</v>
      </c>
      <c r="U98" s="5">
        <v>639.6</v>
      </c>
      <c r="V98" s="6">
        <v>5876.4</v>
      </c>
    </row>
    <row r="99" spans="1:22" x14ac:dyDescent="0.25">
      <c r="A99" t="s">
        <v>212</v>
      </c>
      <c r="B99" s="2">
        <v>46031</v>
      </c>
      <c r="C99" t="s">
        <v>23</v>
      </c>
      <c r="D99" t="s">
        <v>24</v>
      </c>
      <c r="E99" t="s">
        <v>37</v>
      </c>
      <c r="F99">
        <v>34</v>
      </c>
      <c r="G99" t="s">
        <v>94</v>
      </c>
      <c r="H99" t="s">
        <v>95</v>
      </c>
      <c r="I99" t="s">
        <v>67</v>
      </c>
      <c r="J99" t="s">
        <v>74</v>
      </c>
      <c r="K99" t="s">
        <v>75</v>
      </c>
      <c r="L99">
        <v>4</v>
      </c>
      <c r="M99" s="4">
        <v>2899</v>
      </c>
      <c r="N99" s="3">
        <v>0.1</v>
      </c>
      <c r="O99" s="5">
        <v>50</v>
      </c>
      <c r="P99" t="s">
        <v>82</v>
      </c>
      <c r="Q99" t="s">
        <v>32</v>
      </c>
      <c r="R99">
        <v>4</v>
      </c>
      <c r="S99" t="s">
        <v>33</v>
      </c>
      <c r="T99" s="5">
        <v>11596</v>
      </c>
      <c r="U99" s="5">
        <v>1159.5999999999999</v>
      </c>
      <c r="V99" s="6">
        <v>10486.4</v>
      </c>
    </row>
    <row r="100" spans="1:22" x14ac:dyDescent="0.25">
      <c r="A100" t="s">
        <v>213</v>
      </c>
      <c r="B100" s="2">
        <v>46124</v>
      </c>
      <c r="C100" t="s">
        <v>51</v>
      </c>
      <c r="D100" t="s">
        <v>52</v>
      </c>
      <c r="E100" t="s">
        <v>37</v>
      </c>
      <c r="F100">
        <v>22</v>
      </c>
      <c r="G100" t="s">
        <v>80</v>
      </c>
      <c r="H100" t="s">
        <v>81</v>
      </c>
      <c r="I100" t="s">
        <v>40</v>
      </c>
      <c r="J100" t="s">
        <v>88</v>
      </c>
      <c r="K100" t="s">
        <v>75</v>
      </c>
      <c r="L100">
        <v>3</v>
      </c>
      <c r="M100" s="4">
        <v>599</v>
      </c>
      <c r="N100" s="3">
        <v>0</v>
      </c>
      <c r="O100" s="5">
        <v>120</v>
      </c>
      <c r="P100" t="s">
        <v>31</v>
      </c>
      <c r="Q100" t="s">
        <v>32</v>
      </c>
      <c r="R100">
        <v>3.5</v>
      </c>
      <c r="S100" t="s">
        <v>76</v>
      </c>
      <c r="T100" s="5">
        <v>1797</v>
      </c>
      <c r="U100" s="5">
        <v>0</v>
      </c>
      <c r="V100" s="6">
        <v>1917</v>
      </c>
    </row>
    <row r="101" spans="1:22" x14ac:dyDescent="0.25">
      <c r="A101" t="s">
        <v>214</v>
      </c>
      <c r="B101" s="2">
        <v>46055</v>
      </c>
      <c r="C101" t="s">
        <v>145</v>
      </c>
      <c r="D101" t="s">
        <v>146</v>
      </c>
      <c r="E101" t="s">
        <v>25</v>
      </c>
      <c r="F101">
        <v>44</v>
      </c>
      <c r="G101" t="s">
        <v>26</v>
      </c>
      <c r="H101" t="s">
        <v>27</v>
      </c>
      <c r="I101" t="s">
        <v>28</v>
      </c>
      <c r="J101" t="s">
        <v>96</v>
      </c>
      <c r="K101" t="s">
        <v>69</v>
      </c>
      <c r="L101">
        <v>3</v>
      </c>
      <c r="M101" s="4">
        <v>2499</v>
      </c>
      <c r="N101" s="3">
        <v>0.05</v>
      </c>
      <c r="O101" s="5">
        <v>100</v>
      </c>
      <c r="P101" t="s">
        <v>82</v>
      </c>
      <c r="Q101" t="s">
        <v>139</v>
      </c>
      <c r="R101">
        <v>3.5</v>
      </c>
      <c r="S101" t="s">
        <v>76</v>
      </c>
      <c r="T101" s="5">
        <v>7497</v>
      </c>
      <c r="U101" s="5">
        <v>374.85</v>
      </c>
      <c r="V101" s="6">
        <v>7222.15</v>
      </c>
    </row>
  </sheetData>
  <pageMargins left="0.75" right="0.75" top="1" bottom="1" header="0.5" footer="0.5"/>
  <pageSetup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0C9B-C8C0-42E5-846A-2E8856236C82}">
  <sheetPr codeName="Sheet4"/>
  <dimension ref="A1:V101"/>
  <sheetViews>
    <sheetView topLeftCell="A14" zoomScale="51" workbookViewId="0">
      <selection activeCell="X16" sqref="X16"/>
    </sheetView>
  </sheetViews>
  <sheetFormatPr defaultRowHeight="13.8" x14ac:dyDescent="0.25"/>
  <cols>
    <col min="1" max="1" width="9.796875" customWidth="1"/>
    <col min="2" max="2" width="11.8984375" customWidth="1"/>
    <col min="3" max="3" width="13.09765625" customWidth="1"/>
    <col min="4" max="4" width="16.3984375" customWidth="1"/>
    <col min="5" max="5" width="8.8984375" customWidth="1"/>
    <col min="10" max="10" width="9.5" customWidth="1"/>
    <col min="11" max="11" width="10.3984375" customWidth="1"/>
    <col min="12" max="12" width="10.09765625" customWidth="1"/>
    <col min="13" max="13" width="10.8984375" customWidth="1"/>
    <col min="14" max="14" width="10.09765625" customWidth="1"/>
    <col min="15" max="15" width="14.296875" customWidth="1"/>
    <col min="16" max="16" width="17.59765625" customWidth="1"/>
    <col min="17" max="17" width="13.296875" customWidth="1"/>
    <col min="19" max="19" width="18.796875" customWidth="1"/>
    <col min="20" max="20" width="12" customWidth="1"/>
    <col min="21" max="21" width="17.5" customWidth="1"/>
    <col min="22" max="22" width="13.59765625" customWidth="1"/>
  </cols>
  <sheetData>
    <row r="1" spans="1:22" x14ac:dyDescent="0.25">
      <c r="A1" t="s">
        <v>254</v>
      </c>
      <c r="B1" t="s">
        <v>255</v>
      </c>
      <c r="C1" t="s">
        <v>256</v>
      </c>
      <c r="D1" t="s">
        <v>257</v>
      </c>
      <c r="E1" t="s">
        <v>258</v>
      </c>
      <c r="F1" t="s">
        <v>259</v>
      </c>
      <c r="G1" t="s">
        <v>260</v>
      </c>
      <c r="H1" t="s">
        <v>261</v>
      </c>
      <c r="I1" t="s">
        <v>262</v>
      </c>
      <c r="J1" t="s">
        <v>263</v>
      </c>
      <c r="K1" t="s">
        <v>264</v>
      </c>
      <c r="L1" t="s">
        <v>265</v>
      </c>
      <c r="M1" t="s">
        <v>266</v>
      </c>
      <c r="N1" t="s">
        <v>267</v>
      </c>
      <c r="O1" t="s">
        <v>268</v>
      </c>
      <c r="P1" t="s">
        <v>269</v>
      </c>
      <c r="Q1" t="s">
        <v>270</v>
      </c>
      <c r="R1" t="s">
        <v>271</v>
      </c>
      <c r="S1" t="s">
        <v>272</v>
      </c>
      <c r="T1" t="s">
        <v>273</v>
      </c>
      <c r="U1" t="s">
        <v>274</v>
      </c>
      <c r="V1" t="s">
        <v>275</v>
      </c>
    </row>
    <row r="2" spans="1:22" x14ac:dyDescent="0.25">
      <c r="A2" t="s">
        <v>22</v>
      </c>
      <c r="B2" s="16">
        <v>46080</v>
      </c>
      <c r="C2" t="s">
        <v>23</v>
      </c>
      <c r="D2" t="s">
        <v>24</v>
      </c>
      <c r="E2" t="s">
        <v>25</v>
      </c>
      <c r="F2">
        <v>38</v>
      </c>
      <c r="G2" t="s">
        <v>26</v>
      </c>
      <c r="H2" t="s">
        <v>27</v>
      </c>
      <c r="I2" t="s">
        <v>28</v>
      </c>
      <c r="J2" t="s">
        <v>29</v>
      </c>
      <c r="K2" t="s">
        <v>30</v>
      </c>
      <c r="L2">
        <v>3</v>
      </c>
      <c r="M2" s="21">
        <v>899</v>
      </c>
      <c r="N2" s="3">
        <v>0.05</v>
      </c>
      <c r="O2" s="21">
        <v>80</v>
      </c>
      <c r="P2" t="s">
        <v>31</v>
      </c>
      <c r="Q2" t="s">
        <v>32</v>
      </c>
      <c r="R2">
        <v>3</v>
      </c>
      <c r="S2" t="s">
        <v>33</v>
      </c>
      <c r="T2" s="21">
        <v>2697</v>
      </c>
      <c r="U2" s="21">
        <v>134.85</v>
      </c>
      <c r="V2" s="21">
        <v>2642.15</v>
      </c>
    </row>
    <row r="3" spans="1:22" x14ac:dyDescent="0.25">
      <c r="A3" t="s">
        <v>34</v>
      </c>
      <c r="B3" s="16">
        <v>46073</v>
      </c>
      <c r="C3" t="s">
        <v>35</v>
      </c>
      <c r="D3" t="s">
        <v>36</v>
      </c>
      <c r="E3" t="s">
        <v>37</v>
      </c>
      <c r="F3">
        <v>27</v>
      </c>
      <c r="G3" t="s">
        <v>38</v>
      </c>
      <c r="H3" t="s">
        <v>39</v>
      </c>
      <c r="I3" t="s">
        <v>40</v>
      </c>
      <c r="J3" t="s">
        <v>41</v>
      </c>
      <c r="K3" t="s">
        <v>42</v>
      </c>
      <c r="L3">
        <v>1</v>
      </c>
      <c r="M3" s="21">
        <v>1299</v>
      </c>
      <c r="N3" s="3">
        <v>0.2</v>
      </c>
      <c r="O3" s="21">
        <v>80</v>
      </c>
      <c r="P3" t="s">
        <v>43</v>
      </c>
      <c r="Q3" t="s">
        <v>32</v>
      </c>
      <c r="R3">
        <v>5</v>
      </c>
      <c r="S3" t="s">
        <v>44</v>
      </c>
      <c r="T3" s="21">
        <v>1299</v>
      </c>
      <c r="U3" s="21">
        <v>259.8</v>
      </c>
      <c r="V3" s="21">
        <v>1119.2</v>
      </c>
    </row>
    <row r="4" spans="1:22" x14ac:dyDescent="0.25">
      <c r="A4" t="s">
        <v>45</v>
      </c>
      <c r="B4" s="16">
        <v>46094</v>
      </c>
      <c r="C4" t="s">
        <v>46</v>
      </c>
      <c r="D4" t="s">
        <v>47</v>
      </c>
      <c r="E4" t="s">
        <v>25</v>
      </c>
      <c r="F4">
        <v>22</v>
      </c>
      <c r="G4" t="s">
        <v>48</v>
      </c>
      <c r="H4" t="s">
        <v>39</v>
      </c>
      <c r="I4" t="s">
        <v>40</v>
      </c>
      <c r="J4" t="s">
        <v>29</v>
      </c>
      <c r="K4" t="s">
        <v>30</v>
      </c>
      <c r="L4">
        <v>4</v>
      </c>
      <c r="M4" s="21">
        <v>899</v>
      </c>
      <c r="N4" s="3">
        <v>0.1</v>
      </c>
      <c r="O4" s="21">
        <v>80</v>
      </c>
      <c r="P4" t="s">
        <v>49</v>
      </c>
      <c r="Q4" t="s">
        <v>32</v>
      </c>
      <c r="R4">
        <v>3</v>
      </c>
      <c r="S4" t="s">
        <v>44</v>
      </c>
      <c r="T4" s="21">
        <v>3596</v>
      </c>
      <c r="U4" s="21">
        <v>359.6</v>
      </c>
      <c r="V4" s="21">
        <v>3316.4</v>
      </c>
    </row>
    <row r="5" spans="1:22" x14ac:dyDescent="0.25">
      <c r="A5" t="s">
        <v>50</v>
      </c>
      <c r="B5" s="16">
        <v>46160</v>
      </c>
      <c r="C5" t="s">
        <v>51</v>
      </c>
      <c r="D5" t="s">
        <v>52</v>
      </c>
      <c r="E5" t="s">
        <v>25</v>
      </c>
      <c r="F5">
        <v>37</v>
      </c>
      <c r="G5" t="s">
        <v>53</v>
      </c>
      <c r="H5" t="s">
        <v>54</v>
      </c>
      <c r="I5" t="s">
        <v>55</v>
      </c>
      <c r="J5" t="s">
        <v>56</v>
      </c>
      <c r="K5" t="s">
        <v>57</v>
      </c>
      <c r="L5">
        <v>1</v>
      </c>
      <c r="M5" s="21">
        <v>2199</v>
      </c>
      <c r="N5" s="3">
        <v>0.15</v>
      </c>
      <c r="O5" s="21">
        <v>60</v>
      </c>
      <c r="P5" t="s">
        <v>58</v>
      </c>
      <c r="Q5" t="s">
        <v>32</v>
      </c>
      <c r="R5">
        <v>5</v>
      </c>
      <c r="S5" t="s">
        <v>44</v>
      </c>
      <c r="T5" s="21">
        <v>2199</v>
      </c>
      <c r="U5" s="21">
        <v>329.85</v>
      </c>
      <c r="V5" s="21">
        <v>1929.15</v>
      </c>
    </row>
    <row r="6" spans="1:22" x14ac:dyDescent="0.25">
      <c r="A6" t="s">
        <v>59</v>
      </c>
      <c r="B6" s="16">
        <v>46192</v>
      </c>
      <c r="C6" t="s">
        <v>60</v>
      </c>
      <c r="D6" t="s">
        <v>61</v>
      </c>
      <c r="E6" t="s">
        <v>25</v>
      </c>
      <c r="F6">
        <v>27</v>
      </c>
      <c r="G6" t="s">
        <v>38</v>
      </c>
      <c r="H6" t="s">
        <v>39</v>
      </c>
      <c r="I6" t="s">
        <v>40</v>
      </c>
      <c r="J6" t="s">
        <v>29</v>
      </c>
      <c r="K6" t="s">
        <v>30</v>
      </c>
      <c r="L6">
        <v>1</v>
      </c>
      <c r="M6" s="21">
        <v>899</v>
      </c>
      <c r="N6" s="3">
        <v>0</v>
      </c>
      <c r="O6" s="21">
        <v>40</v>
      </c>
      <c r="P6" t="s">
        <v>49</v>
      </c>
      <c r="Q6" t="s">
        <v>32</v>
      </c>
      <c r="R6">
        <v>4.5</v>
      </c>
      <c r="S6" t="s">
        <v>44</v>
      </c>
      <c r="T6" s="21">
        <v>899</v>
      </c>
      <c r="U6" s="21">
        <v>0</v>
      </c>
      <c r="V6" s="21">
        <v>939</v>
      </c>
    </row>
    <row r="7" spans="1:22" x14ac:dyDescent="0.25">
      <c r="A7" t="s">
        <v>62</v>
      </c>
      <c r="B7" s="16">
        <v>46076</v>
      </c>
      <c r="C7" t="s">
        <v>63</v>
      </c>
      <c r="D7" t="s">
        <v>64</v>
      </c>
      <c r="E7" t="s">
        <v>25</v>
      </c>
      <c r="F7">
        <v>37</v>
      </c>
      <c r="G7" t="s">
        <v>65</v>
      </c>
      <c r="H7" t="s">
        <v>66</v>
      </c>
      <c r="I7" t="s">
        <v>67</v>
      </c>
      <c r="J7" t="s">
        <v>68</v>
      </c>
      <c r="K7" t="s">
        <v>69</v>
      </c>
      <c r="L7">
        <v>3</v>
      </c>
      <c r="M7" s="21">
        <v>3299</v>
      </c>
      <c r="N7" s="3">
        <v>0.1</v>
      </c>
      <c r="O7" s="21">
        <v>120</v>
      </c>
      <c r="P7" t="s">
        <v>31</v>
      </c>
      <c r="Q7" t="s">
        <v>32</v>
      </c>
      <c r="R7">
        <v>3.5</v>
      </c>
      <c r="S7" t="s">
        <v>33</v>
      </c>
      <c r="T7" s="21">
        <v>9897</v>
      </c>
      <c r="U7" s="21">
        <v>989.7</v>
      </c>
      <c r="V7" s="21">
        <v>9027.2999999999993</v>
      </c>
    </row>
    <row r="8" spans="1:22" x14ac:dyDescent="0.25">
      <c r="A8" t="s">
        <v>70</v>
      </c>
      <c r="B8" s="16">
        <v>46238</v>
      </c>
      <c r="C8" t="s">
        <v>63</v>
      </c>
      <c r="D8" t="s">
        <v>64</v>
      </c>
      <c r="E8" t="s">
        <v>25</v>
      </c>
      <c r="F8">
        <v>21</v>
      </c>
      <c r="G8" t="s">
        <v>71</v>
      </c>
      <c r="H8" t="s">
        <v>72</v>
      </c>
      <c r="I8" t="s">
        <v>67</v>
      </c>
      <c r="J8" t="s">
        <v>56</v>
      </c>
      <c r="K8" t="s">
        <v>57</v>
      </c>
      <c r="L8">
        <v>2</v>
      </c>
      <c r="M8" s="21">
        <v>2199</v>
      </c>
      <c r="N8" s="3">
        <v>0.1</v>
      </c>
      <c r="O8" s="21">
        <v>60</v>
      </c>
      <c r="P8" t="s">
        <v>31</v>
      </c>
      <c r="Q8" t="s">
        <v>32</v>
      </c>
      <c r="R8">
        <v>4.5</v>
      </c>
      <c r="S8" t="s">
        <v>44</v>
      </c>
      <c r="T8" s="21">
        <v>4398</v>
      </c>
      <c r="U8" s="21">
        <v>439.8</v>
      </c>
      <c r="V8" s="21">
        <v>4018.2</v>
      </c>
    </row>
    <row r="9" spans="1:22" x14ac:dyDescent="0.25">
      <c r="A9" t="s">
        <v>73</v>
      </c>
      <c r="B9" s="16">
        <v>46190</v>
      </c>
      <c r="C9" t="s">
        <v>35</v>
      </c>
      <c r="D9" t="s">
        <v>36</v>
      </c>
      <c r="E9" t="s">
        <v>25</v>
      </c>
      <c r="F9">
        <v>28</v>
      </c>
      <c r="G9" t="s">
        <v>38</v>
      </c>
      <c r="H9" t="s">
        <v>39</v>
      </c>
      <c r="I9" t="s">
        <v>40</v>
      </c>
      <c r="J9" t="s">
        <v>74</v>
      </c>
      <c r="K9" t="s">
        <v>75</v>
      </c>
      <c r="L9">
        <v>3</v>
      </c>
      <c r="M9" s="21">
        <v>2899</v>
      </c>
      <c r="N9" s="3">
        <v>0.05</v>
      </c>
      <c r="O9" s="21">
        <v>50</v>
      </c>
      <c r="P9" t="s">
        <v>58</v>
      </c>
      <c r="Q9" t="s">
        <v>32</v>
      </c>
      <c r="R9">
        <v>3.5</v>
      </c>
      <c r="S9" t="s">
        <v>76</v>
      </c>
      <c r="T9" s="21">
        <v>8697</v>
      </c>
      <c r="U9" s="21">
        <v>434.85</v>
      </c>
      <c r="V9" s="21">
        <v>8312.15</v>
      </c>
    </row>
    <row r="10" spans="1:22" x14ac:dyDescent="0.25">
      <c r="A10" t="s">
        <v>77</v>
      </c>
      <c r="B10" s="16">
        <v>46125</v>
      </c>
      <c r="C10" t="s">
        <v>78</v>
      </c>
      <c r="D10" t="s">
        <v>79</v>
      </c>
      <c r="E10" t="s">
        <v>37</v>
      </c>
      <c r="F10">
        <v>22</v>
      </c>
      <c r="G10" t="s">
        <v>80</v>
      </c>
      <c r="H10" t="s">
        <v>81</v>
      </c>
      <c r="I10" t="s">
        <v>40</v>
      </c>
      <c r="J10" t="s">
        <v>56</v>
      </c>
      <c r="K10" t="s">
        <v>57</v>
      </c>
      <c r="L10">
        <v>4</v>
      </c>
      <c r="M10" s="21">
        <v>2199</v>
      </c>
      <c r="N10" s="3">
        <v>0.2</v>
      </c>
      <c r="O10" s="21">
        <v>40</v>
      </c>
      <c r="P10" t="s">
        <v>82</v>
      </c>
      <c r="Q10" t="s">
        <v>32</v>
      </c>
      <c r="R10">
        <v>3</v>
      </c>
      <c r="S10" t="s">
        <v>33</v>
      </c>
      <c r="T10" s="21">
        <v>8796</v>
      </c>
      <c r="U10" s="21">
        <v>1759.2</v>
      </c>
      <c r="V10" s="21">
        <v>7076.8</v>
      </c>
    </row>
    <row r="11" spans="1:22" x14ac:dyDescent="0.25">
      <c r="A11" t="s">
        <v>83</v>
      </c>
      <c r="B11" s="16">
        <v>46120</v>
      </c>
      <c r="C11" t="s">
        <v>84</v>
      </c>
      <c r="D11" t="s">
        <v>85</v>
      </c>
      <c r="E11" t="s">
        <v>37</v>
      </c>
      <c r="F11">
        <v>37</v>
      </c>
      <c r="G11" t="s">
        <v>71</v>
      </c>
      <c r="H11" t="s">
        <v>72</v>
      </c>
      <c r="I11" t="s">
        <v>67</v>
      </c>
      <c r="J11" t="s">
        <v>74</v>
      </c>
      <c r="K11" t="s">
        <v>75</v>
      </c>
      <c r="L11">
        <v>1</v>
      </c>
      <c r="M11" s="21">
        <v>2899</v>
      </c>
      <c r="N11" s="3">
        <v>0.15</v>
      </c>
      <c r="O11" s="21">
        <v>40</v>
      </c>
      <c r="P11" t="s">
        <v>58</v>
      </c>
      <c r="Q11" t="s">
        <v>32</v>
      </c>
      <c r="R11">
        <v>3</v>
      </c>
      <c r="S11" t="s">
        <v>76</v>
      </c>
      <c r="T11" s="21">
        <v>2899</v>
      </c>
      <c r="U11" s="21">
        <v>434.85</v>
      </c>
      <c r="V11" s="21">
        <v>2504.15</v>
      </c>
    </row>
    <row r="12" spans="1:22" x14ac:dyDescent="0.25">
      <c r="A12" t="s">
        <v>86</v>
      </c>
      <c r="B12" s="16">
        <v>46098</v>
      </c>
      <c r="C12" t="s">
        <v>78</v>
      </c>
      <c r="D12" t="s">
        <v>79</v>
      </c>
      <c r="E12" t="s">
        <v>25</v>
      </c>
      <c r="F12">
        <v>43</v>
      </c>
      <c r="G12" t="s">
        <v>87</v>
      </c>
      <c r="H12" t="s">
        <v>87</v>
      </c>
      <c r="I12" t="s">
        <v>55</v>
      </c>
      <c r="J12" t="s">
        <v>88</v>
      </c>
      <c r="K12" t="s">
        <v>75</v>
      </c>
      <c r="L12">
        <v>3</v>
      </c>
      <c r="M12" s="21">
        <v>599</v>
      </c>
      <c r="N12" s="3">
        <v>0</v>
      </c>
      <c r="O12" s="21">
        <v>120</v>
      </c>
      <c r="P12" t="s">
        <v>58</v>
      </c>
      <c r="Q12" t="s">
        <v>32</v>
      </c>
      <c r="R12">
        <v>4</v>
      </c>
      <c r="S12" t="s">
        <v>76</v>
      </c>
      <c r="T12" s="21">
        <v>1797</v>
      </c>
      <c r="U12" s="21">
        <v>0</v>
      </c>
      <c r="V12" s="21">
        <v>1917</v>
      </c>
    </row>
    <row r="13" spans="1:22" x14ac:dyDescent="0.25">
      <c r="A13" t="s">
        <v>89</v>
      </c>
      <c r="B13" s="16">
        <v>46178</v>
      </c>
      <c r="C13" t="s">
        <v>84</v>
      </c>
      <c r="D13" t="s">
        <v>85</v>
      </c>
      <c r="E13" t="s">
        <v>25</v>
      </c>
      <c r="F13">
        <v>37</v>
      </c>
      <c r="G13" t="s">
        <v>80</v>
      </c>
      <c r="H13" t="s">
        <v>81</v>
      </c>
      <c r="I13" t="s">
        <v>40</v>
      </c>
      <c r="J13" t="s">
        <v>90</v>
      </c>
      <c r="K13" t="s">
        <v>69</v>
      </c>
      <c r="L13">
        <v>3</v>
      </c>
      <c r="M13" s="21">
        <v>1799</v>
      </c>
      <c r="N13" s="3">
        <v>0.2</v>
      </c>
      <c r="O13" s="21">
        <v>100</v>
      </c>
      <c r="P13" t="s">
        <v>49</v>
      </c>
      <c r="Q13" t="s">
        <v>32</v>
      </c>
      <c r="R13">
        <v>3</v>
      </c>
      <c r="S13" t="s">
        <v>76</v>
      </c>
      <c r="T13" s="21">
        <v>5397</v>
      </c>
      <c r="U13" s="21">
        <v>1079.4000000000001</v>
      </c>
      <c r="V13" s="21">
        <v>4417.6000000000004</v>
      </c>
    </row>
    <row r="14" spans="1:22" x14ac:dyDescent="0.25">
      <c r="A14" t="s">
        <v>91</v>
      </c>
      <c r="B14" s="16">
        <v>46247</v>
      </c>
      <c r="C14" t="s">
        <v>92</v>
      </c>
      <c r="D14" t="s">
        <v>93</v>
      </c>
      <c r="E14" t="s">
        <v>25</v>
      </c>
      <c r="F14">
        <v>21</v>
      </c>
      <c r="G14" t="s">
        <v>94</v>
      </c>
      <c r="H14" t="s">
        <v>95</v>
      </c>
      <c r="I14" t="s">
        <v>67</v>
      </c>
      <c r="J14" t="s">
        <v>96</v>
      </c>
      <c r="K14" t="s">
        <v>69</v>
      </c>
      <c r="L14">
        <v>1</v>
      </c>
      <c r="M14" s="21">
        <v>2499</v>
      </c>
      <c r="N14" s="3">
        <v>0.1</v>
      </c>
      <c r="O14" s="21">
        <v>50</v>
      </c>
      <c r="P14" t="s">
        <v>49</v>
      </c>
      <c r="Q14" t="s">
        <v>97</v>
      </c>
      <c r="R14">
        <v>5</v>
      </c>
      <c r="S14" t="s">
        <v>33</v>
      </c>
      <c r="T14" s="21">
        <v>2499</v>
      </c>
      <c r="U14" s="21">
        <v>249.9</v>
      </c>
      <c r="V14" s="21">
        <v>2299.1</v>
      </c>
    </row>
    <row r="15" spans="1:22" x14ac:dyDescent="0.25">
      <c r="A15" t="s">
        <v>98</v>
      </c>
      <c r="B15" s="16">
        <v>46191</v>
      </c>
      <c r="C15" t="s">
        <v>35</v>
      </c>
      <c r="D15" t="s">
        <v>36</v>
      </c>
      <c r="E15" t="s">
        <v>25</v>
      </c>
      <c r="F15">
        <v>28</v>
      </c>
      <c r="G15" t="s">
        <v>94</v>
      </c>
      <c r="H15" t="s">
        <v>95</v>
      </c>
      <c r="I15" t="s">
        <v>67</v>
      </c>
      <c r="J15" t="s">
        <v>90</v>
      </c>
      <c r="K15" t="s">
        <v>69</v>
      </c>
      <c r="L15">
        <v>2</v>
      </c>
      <c r="M15" s="21">
        <v>1799</v>
      </c>
      <c r="N15" s="3">
        <v>0.05</v>
      </c>
      <c r="O15" s="21">
        <v>100</v>
      </c>
      <c r="P15" t="s">
        <v>43</v>
      </c>
      <c r="Q15" t="s">
        <v>32</v>
      </c>
      <c r="R15">
        <v>5</v>
      </c>
      <c r="S15" t="s">
        <v>44</v>
      </c>
      <c r="T15" s="21">
        <v>3598</v>
      </c>
      <c r="U15" s="21">
        <v>179.9</v>
      </c>
      <c r="V15" s="21">
        <v>3518.1</v>
      </c>
    </row>
    <row r="16" spans="1:22" x14ac:dyDescent="0.25">
      <c r="A16" t="s">
        <v>99</v>
      </c>
      <c r="B16" s="16">
        <v>46125</v>
      </c>
      <c r="C16" t="s">
        <v>100</v>
      </c>
      <c r="D16" t="s">
        <v>101</v>
      </c>
      <c r="E16" t="s">
        <v>37</v>
      </c>
      <c r="F16">
        <v>36</v>
      </c>
      <c r="G16" t="s">
        <v>80</v>
      </c>
      <c r="H16" t="s">
        <v>81</v>
      </c>
      <c r="I16" t="s">
        <v>40</v>
      </c>
      <c r="J16" t="s">
        <v>29</v>
      </c>
      <c r="K16" t="s">
        <v>30</v>
      </c>
      <c r="L16">
        <v>2</v>
      </c>
      <c r="M16" s="21">
        <v>899</v>
      </c>
      <c r="N16" s="3">
        <v>0.1</v>
      </c>
      <c r="O16" s="21">
        <v>80</v>
      </c>
      <c r="P16" t="s">
        <v>49</v>
      </c>
      <c r="Q16" t="s">
        <v>97</v>
      </c>
      <c r="R16">
        <v>3</v>
      </c>
      <c r="S16" t="s">
        <v>33</v>
      </c>
      <c r="T16" s="21">
        <v>1798</v>
      </c>
      <c r="U16" s="21">
        <v>179.8</v>
      </c>
      <c r="V16" s="21">
        <v>1698.2</v>
      </c>
    </row>
    <row r="17" spans="1:22" x14ac:dyDescent="0.25">
      <c r="A17" t="s">
        <v>102</v>
      </c>
      <c r="B17" s="16">
        <v>46164</v>
      </c>
      <c r="C17" t="s">
        <v>103</v>
      </c>
      <c r="D17" t="s">
        <v>104</v>
      </c>
      <c r="E17" t="s">
        <v>25</v>
      </c>
      <c r="F17">
        <v>22</v>
      </c>
      <c r="G17" t="s">
        <v>105</v>
      </c>
      <c r="H17" t="s">
        <v>27</v>
      </c>
      <c r="I17" t="s">
        <v>28</v>
      </c>
      <c r="J17" t="s">
        <v>106</v>
      </c>
      <c r="K17" t="s">
        <v>57</v>
      </c>
      <c r="L17">
        <v>1</v>
      </c>
      <c r="M17" s="21">
        <v>699</v>
      </c>
      <c r="N17" s="3">
        <v>0.2</v>
      </c>
      <c r="O17" s="21">
        <v>120</v>
      </c>
      <c r="P17" t="s">
        <v>82</v>
      </c>
      <c r="Q17" t="s">
        <v>32</v>
      </c>
      <c r="R17">
        <v>3</v>
      </c>
      <c r="S17" t="s">
        <v>33</v>
      </c>
      <c r="T17" s="21">
        <v>699</v>
      </c>
      <c r="U17" s="21">
        <v>139.80000000000001</v>
      </c>
      <c r="V17" s="21">
        <v>679.2</v>
      </c>
    </row>
    <row r="18" spans="1:22" x14ac:dyDescent="0.25">
      <c r="A18" t="s">
        <v>107</v>
      </c>
      <c r="B18" s="16">
        <v>46083</v>
      </c>
      <c r="C18" t="s">
        <v>35</v>
      </c>
      <c r="D18" t="s">
        <v>36</v>
      </c>
      <c r="E18" t="s">
        <v>25</v>
      </c>
      <c r="F18">
        <v>37</v>
      </c>
      <c r="G18" t="s">
        <v>26</v>
      </c>
      <c r="H18" t="s">
        <v>27</v>
      </c>
      <c r="I18" t="s">
        <v>28</v>
      </c>
      <c r="J18" t="s">
        <v>106</v>
      </c>
      <c r="K18" t="s">
        <v>57</v>
      </c>
      <c r="L18">
        <v>1</v>
      </c>
      <c r="M18" s="21">
        <v>699</v>
      </c>
      <c r="N18" s="3">
        <v>0.2</v>
      </c>
      <c r="O18" s="21">
        <v>50</v>
      </c>
      <c r="P18" t="s">
        <v>58</v>
      </c>
      <c r="Q18" t="s">
        <v>32</v>
      </c>
      <c r="R18">
        <v>5</v>
      </c>
      <c r="S18" t="s">
        <v>76</v>
      </c>
      <c r="T18" s="21">
        <v>699</v>
      </c>
      <c r="U18" s="21">
        <v>139.80000000000001</v>
      </c>
      <c r="V18" s="21">
        <v>609.20000000000005</v>
      </c>
    </row>
    <row r="19" spans="1:22" x14ac:dyDescent="0.25">
      <c r="A19" t="s">
        <v>108</v>
      </c>
      <c r="B19" s="16">
        <v>46047</v>
      </c>
      <c r="C19" t="s">
        <v>109</v>
      </c>
      <c r="D19" t="s">
        <v>110</v>
      </c>
      <c r="E19" t="s">
        <v>37</v>
      </c>
      <c r="F19">
        <v>33</v>
      </c>
      <c r="G19" t="s">
        <v>38</v>
      </c>
      <c r="H19" t="s">
        <v>39</v>
      </c>
      <c r="I19" t="s">
        <v>40</v>
      </c>
      <c r="J19" t="s">
        <v>111</v>
      </c>
      <c r="K19" t="s">
        <v>112</v>
      </c>
      <c r="L19">
        <v>4</v>
      </c>
      <c r="M19" s="21">
        <v>999</v>
      </c>
      <c r="N19" s="3">
        <v>0.05</v>
      </c>
      <c r="O19" s="21">
        <v>80</v>
      </c>
      <c r="P19" t="s">
        <v>58</v>
      </c>
      <c r="Q19" t="s">
        <v>32</v>
      </c>
      <c r="R19">
        <v>4.5</v>
      </c>
      <c r="S19" t="s">
        <v>76</v>
      </c>
      <c r="T19" s="21">
        <v>3996</v>
      </c>
      <c r="U19" s="21">
        <v>199.8</v>
      </c>
      <c r="V19" s="21">
        <v>3876.2</v>
      </c>
    </row>
    <row r="20" spans="1:22" x14ac:dyDescent="0.25">
      <c r="A20" t="s">
        <v>113</v>
      </c>
      <c r="B20" s="16">
        <v>46227</v>
      </c>
      <c r="C20" t="s">
        <v>114</v>
      </c>
      <c r="D20" t="s">
        <v>115</v>
      </c>
      <c r="E20" t="s">
        <v>25</v>
      </c>
      <c r="F20">
        <v>26</v>
      </c>
      <c r="G20" t="s">
        <v>105</v>
      </c>
      <c r="H20" t="s">
        <v>27</v>
      </c>
      <c r="I20" t="s">
        <v>28</v>
      </c>
      <c r="J20" t="s">
        <v>96</v>
      </c>
      <c r="K20" t="s">
        <v>69</v>
      </c>
      <c r="L20">
        <v>4</v>
      </c>
      <c r="M20" s="21">
        <v>2499</v>
      </c>
      <c r="N20" s="3">
        <v>0.1</v>
      </c>
      <c r="O20" s="21">
        <v>100</v>
      </c>
      <c r="P20" t="s">
        <v>82</v>
      </c>
      <c r="Q20" t="s">
        <v>116</v>
      </c>
      <c r="R20">
        <v>4.5</v>
      </c>
      <c r="S20" t="s">
        <v>33</v>
      </c>
      <c r="T20" s="21">
        <v>9996</v>
      </c>
      <c r="U20" s="21">
        <v>999.6</v>
      </c>
      <c r="V20" s="21">
        <v>9096.4</v>
      </c>
    </row>
    <row r="21" spans="1:22" x14ac:dyDescent="0.25">
      <c r="A21" t="s">
        <v>117</v>
      </c>
      <c r="B21" s="16">
        <v>46246</v>
      </c>
      <c r="C21" t="s">
        <v>118</v>
      </c>
      <c r="D21" t="s">
        <v>119</v>
      </c>
      <c r="E21" t="s">
        <v>25</v>
      </c>
      <c r="F21">
        <v>21</v>
      </c>
      <c r="G21" t="s">
        <v>48</v>
      </c>
      <c r="H21" t="s">
        <v>39</v>
      </c>
      <c r="I21" t="s">
        <v>40</v>
      </c>
      <c r="J21" t="s">
        <v>56</v>
      </c>
      <c r="K21" t="s">
        <v>57</v>
      </c>
      <c r="L21">
        <v>4</v>
      </c>
      <c r="M21" s="21">
        <v>2199</v>
      </c>
      <c r="N21" s="3">
        <v>0.05</v>
      </c>
      <c r="O21" s="21">
        <v>120</v>
      </c>
      <c r="P21" t="s">
        <v>58</v>
      </c>
      <c r="Q21" t="s">
        <v>116</v>
      </c>
      <c r="R21">
        <v>5</v>
      </c>
      <c r="S21" t="s">
        <v>33</v>
      </c>
      <c r="T21" s="21">
        <v>8796</v>
      </c>
      <c r="U21" s="21">
        <v>439.8</v>
      </c>
      <c r="V21" s="21">
        <v>8476.2000000000007</v>
      </c>
    </row>
    <row r="22" spans="1:22" x14ac:dyDescent="0.25">
      <c r="A22" t="s">
        <v>120</v>
      </c>
      <c r="B22" s="16">
        <v>46146</v>
      </c>
      <c r="C22" t="s">
        <v>35</v>
      </c>
      <c r="D22" t="s">
        <v>36</v>
      </c>
      <c r="E22" t="s">
        <v>25</v>
      </c>
      <c r="F22">
        <v>25</v>
      </c>
      <c r="G22" t="s">
        <v>38</v>
      </c>
      <c r="H22" t="s">
        <v>39</v>
      </c>
      <c r="I22" t="s">
        <v>40</v>
      </c>
      <c r="J22" t="s">
        <v>68</v>
      </c>
      <c r="K22" t="s">
        <v>69</v>
      </c>
      <c r="L22">
        <v>4</v>
      </c>
      <c r="M22" s="21">
        <v>3299</v>
      </c>
      <c r="N22" s="3">
        <v>0.15</v>
      </c>
      <c r="O22" s="21">
        <v>80</v>
      </c>
      <c r="P22" t="s">
        <v>58</v>
      </c>
      <c r="Q22" t="s">
        <v>32</v>
      </c>
      <c r="R22">
        <v>3</v>
      </c>
      <c r="S22" t="s">
        <v>44</v>
      </c>
      <c r="T22" s="21">
        <v>13196</v>
      </c>
      <c r="U22" s="21">
        <v>1979.4</v>
      </c>
      <c r="V22" s="21">
        <v>11296.6</v>
      </c>
    </row>
    <row r="23" spans="1:22" x14ac:dyDescent="0.25">
      <c r="A23" t="s">
        <v>121</v>
      </c>
      <c r="B23" s="16">
        <v>46192</v>
      </c>
      <c r="C23" t="s">
        <v>122</v>
      </c>
      <c r="D23" t="s">
        <v>123</v>
      </c>
      <c r="E23" t="s">
        <v>25</v>
      </c>
      <c r="F23">
        <v>29</v>
      </c>
      <c r="G23" t="s">
        <v>94</v>
      </c>
      <c r="H23" t="s">
        <v>95</v>
      </c>
      <c r="I23" t="s">
        <v>67</v>
      </c>
      <c r="J23" t="s">
        <v>56</v>
      </c>
      <c r="K23" t="s">
        <v>57</v>
      </c>
      <c r="L23">
        <v>4</v>
      </c>
      <c r="M23" s="21">
        <v>2199</v>
      </c>
      <c r="N23" s="3">
        <v>0.2</v>
      </c>
      <c r="O23" s="21">
        <v>50</v>
      </c>
      <c r="P23" t="s">
        <v>82</v>
      </c>
      <c r="Q23" t="s">
        <v>32</v>
      </c>
      <c r="R23">
        <v>3</v>
      </c>
      <c r="S23" t="s">
        <v>76</v>
      </c>
      <c r="T23" s="21">
        <v>8796</v>
      </c>
      <c r="U23" s="21">
        <v>1759.2</v>
      </c>
      <c r="V23" s="21">
        <v>7086.8</v>
      </c>
    </row>
    <row r="24" spans="1:22" x14ac:dyDescent="0.25">
      <c r="A24" t="s">
        <v>124</v>
      </c>
      <c r="B24" s="16">
        <v>46035</v>
      </c>
      <c r="C24" t="s">
        <v>78</v>
      </c>
      <c r="D24" t="s">
        <v>79</v>
      </c>
      <c r="E24" t="s">
        <v>25</v>
      </c>
      <c r="F24">
        <v>21</v>
      </c>
      <c r="G24" t="s">
        <v>26</v>
      </c>
      <c r="H24" t="s">
        <v>27</v>
      </c>
      <c r="I24" t="s">
        <v>28</v>
      </c>
      <c r="J24" t="s">
        <v>29</v>
      </c>
      <c r="K24" t="s">
        <v>30</v>
      </c>
      <c r="L24">
        <v>3</v>
      </c>
      <c r="M24" s="21">
        <v>899</v>
      </c>
      <c r="N24" s="3">
        <v>0</v>
      </c>
      <c r="O24" s="21">
        <v>100</v>
      </c>
      <c r="P24" t="s">
        <v>43</v>
      </c>
      <c r="Q24" t="s">
        <v>32</v>
      </c>
      <c r="R24">
        <v>3</v>
      </c>
      <c r="S24" t="s">
        <v>33</v>
      </c>
      <c r="T24" s="21">
        <v>2697</v>
      </c>
      <c r="U24" s="21">
        <v>0</v>
      </c>
      <c r="V24" s="21">
        <v>2797</v>
      </c>
    </row>
    <row r="25" spans="1:22" x14ac:dyDescent="0.25">
      <c r="A25" t="s">
        <v>125</v>
      </c>
      <c r="B25" s="16">
        <v>46053</v>
      </c>
      <c r="C25" t="s">
        <v>35</v>
      </c>
      <c r="D25" t="s">
        <v>36</v>
      </c>
      <c r="E25" t="s">
        <v>25</v>
      </c>
      <c r="F25">
        <v>38</v>
      </c>
      <c r="G25" t="s">
        <v>53</v>
      </c>
      <c r="H25" t="s">
        <v>54</v>
      </c>
      <c r="I25" t="s">
        <v>55</v>
      </c>
      <c r="J25" t="s">
        <v>90</v>
      </c>
      <c r="K25" t="s">
        <v>69</v>
      </c>
      <c r="L25">
        <v>2</v>
      </c>
      <c r="M25" s="21">
        <v>1799</v>
      </c>
      <c r="N25" s="3">
        <v>0.15</v>
      </c>
      <c r="O25" s="21">
        <v>100</v>
      </c>
      <c r="P25" t="s">
        <v>43</v>
      </c>
      <c r="Q25" t="s">
        <v>97</v>
      </c>
      <c r="R25">
        <v>3</v>
      </c>
      <c r="S25" t="s">
        <v>76</v>
      </c>
      <c r="T25" s="21">
        <v>3598</v>
      </c>
      <c r="U25" s="21">
        <v>539.70000000000005</v>
      </c>
      <c r="V25" s="21">
        <v>3158.3</v>
      </c>
    </row>
    <row r="26" spans="1:22" x14ac:dyDescent="0.25">
      <c r="A26" t="s">
        <v>126</v>
      </c>
      <c r="B26" s="16">
        <v>46075</v>
      </c>
      <c r="C26" t="s">
        <v>35</v>
      </c>
      <c r="D26" t="s">
        <v>36</v>
      </c>
      <c r="E26" t="s">
        <v>25</v>
      </c>
      <c r="F26">
        <v>28</v>
      </c>
      <c r="G26" t="s">
        <v>71</v>
      </c>
      <c r="H26" t="s">
        <v>72</v>
      </c>
      <c r="I26" t="s">
        <v>67</v>
      </c>
      <c r="J26" t="s">
        <v>88</v>
      </c>
      <c r="K26" t="s">
        <v>75</v>
      </c>
      <c r="L26">
        <v>3</v>
      </c>
      <c r="M26" s="21">
        <v>599</v>
      </c>
      <c r="N26" s="3">
        <v>0.1</v>
      </c>
      <c r="O26" s="21">
        <v>80</v>
      </c>
      <c r="P26" t="s">
        <v>49</v>
      </c>
      <c r="Q26" t="s">
        <v>32</v>
      </c>
      <c r="R26">
        <v>3.5</v>
      </c>
      <c r="S26" t="s">
        <v>76</v>
      </c>
      <c r="T26" s="21">
        <v>1797</v>
      </c>
      <c r="U26" s="21">
        <v>179.7</v>
      </c>
      <c r="V26" s="21">
        <v>1697.3</v>
      </c>
    </row>
    <row r="27" spans="1:22" x14ac:dyDescent="0.25">
      <c r="A27" t="s">
        <v>127</v>
      </c>
      <c r="B27" s="16">
        <v>46140</v>
      </c>
      <c r="C27" t="s">
        <v>128</v>
      </c>
      <c r="D27" t="s">
        <v>129</v>
      </c>
      <c r="E27" t="s">
        <v>25</v>
      </c>
      <c r="F27">
        <v>22</v>
      </c>
      <c r="G27" t="s">
        <v>94</v>
      </c>
      <c r="H27" t="s">
        <v>95</v>
      </c>
      <c r="I27" t="s">
        <v>67</v>
      </c>
      <c r="J27" t="s">
        <v>106</v>
      </c>
      <c r="K27" t="s">
        <v>57</v>
      </c>
      <c r="L27">
        <v>1</v>
      </c>
      <c r="M27" s="21">
        <v>699</v>
      </c>
      <c r="N27" s="3">
        <v>0</v>
      </c>
      <c r="O27" s="21">
        <v>100</v>
      </c>
      <c r="P27" t="s">
        <v>43</v>
      </c>
      <c r="Q27" t="s">
        <v>32</v>
      </c>
      <c r="R27">
        <v>3.5</v>
      </c>
      <c r="S27" t="s">
        <v>76</v>
      </c>
      <c r="T27" s="21">
        <v>699</v>
      </c>
      <c r="U27" s="21">
        <v>0</v>
      </c>
      <c r="V27" s="21">
        <v>799</v>
      </c>
    </row>
    <row r="28" spans="1:22" x14ac:dyDescent="0.25">
      <c r="A28" t="s">
        <v>130</v>
      </c>
      <c r="B28" s="16">
        <v>46117</v>
      </c>
      <c r="C28" t="s">
        <v>122</v>
      </c>
      <c r="D28" t="s">
        <v>123</v>
      </c>
      <c r="E28" t="s">
        <v>37</v>
      </c>
      <c r="F28">
        <v>39</v>
      </c>
      <c r="G28" t="s">
        <v>48</v>
      </c>
      <c r="H28" t="s">
        <v>39</v>
      </c>
      <c r="I28" t="s">
        <v>40</v>
      </c>
      <c r="J28" t="s">
        <v>106</v>
      </c>
      <c r="K28" t="s">
        <v>57</v>
      </c>
      <c r="L28">
        <v>1</v>
      </c>
      <c r="M28" s="21">
        <v>699</v>
      </c>
      <c r="N28" s="3">
        <v>0.05</v>
      </c>
      <c r="O28" s="21">
        <v>120</v>
      </c>
      <c r="P28" t="s">
        <v>58</v>
      </c>
      <c r="Q28" t="s">
        <v>32</v>
      </c>
      <c r="R28">
        <v>5</v>
      </c>
      <c r="S28" t="s">
        <v>33</v>
      </c>
      <c r="T28" s="21">
        <v>699</v>
      </c>
      <c r="U28" s="21">
        <v>34.950000000000003</v>
      </c>
      <c r="V28" s="21">
        <v>784.05</v>
      </c>
    </row>
    <row r="29" spans="1:22" x14ac:dyDescent="0.25">
      <c r="A29" t="s">
        <v>131</v>
      </c>
      <c r="B29" s="16">
        <v>46090</v>
      </c>
      <c r="C29" t="s">
        <v>78</v>
      </c>
      <c r="D29" t="s">
        <v>79</v>
      </c>
      <c r="E29" t="s">
        <v>25</v>
      </c>
      <c r="F29">
        <v>28</v>
      </c>
      <c r="G29" t="s">
        <v>87</v>
      </c>
      <c r="H29" t="s">
        <v>87</v>
      </c>
      <c r="I29" t="s">
        <v>55</v>
      </c>
      <c r="J29" t="s">
        <v>88</v>
      </c>
      <c r="K29" t="s">
        <v>75</v>
      </c>
      <c r="L29">
        <v>1</v>
      </c>
      <c r="M29" s="21">
        <v>599</v>
      </c>
      <c r="N29" s="3">
        <v>0.05</v>
      </c>
      <c r="O29" s="21">
        <v>60</v>
      </c>
      <c r="P29" t="s">
        <v>31</v>
      </c>
      <c r="Q29" t="s">
        <v>32</v>
      </c>
      <c r="R29">
        <v>5</v>
      </c>
      <c r="S29" t="s">
        <v>33</v>
      </c>
      <c r="T29" s="21">
        <v>599</v>
      </c>
      <c r="U29" s="21">
        <v>29.95</v>
      </c>
      <c r="V29" s="21">
        <v>629.04999999999995</v>
      </c>
    </row>
    <row r="30" spans="1:22" x14ac:dyDescent="0.25">
      <c r="A30" t="s">
        <v>132</v>
      </c>
      <c r="B30" s="16">
        <v>46148</v>
      </c>
      <c r="C30" t="s">
        <v>92</v>
      </c>
      <c r="D30" t="s">
        <v>93</v>
      </c>
      <c r="E30" t="s">
        <v>25</v>
      </c>
      <c r="F30">
        <v>40</v>
      </c>
      <c r="G30" t="s">
        <v>38</v>
      </c>
      <c r="H30" t="s">
        <v>39</v>
      </c>
      <c r="I30" t="s">
        <v>40</v>
      </c>
      <c r="J30" t="s">
        <v>88</v>
      </c>
      <c r="K30" t="s">
        <v>75</v>
      </c>
      <c r="L30">
        <v>3</v>
      </c>
      <c r="M30" s="21">
        <v>599</v>
      </c>
      <c r="N30" s="3">
        <v>0.2</v>
      </c>
      <c r="O30" s="21">
        <v>80</v>
      </c>
      <c r="P30" t="s">
        <v>31</v>
      </c>
      <c r="Q30" t="s">
        <v>32</v>
      </c>
      <c r="R30">
        <v>4</v>
      </c>
      <c r="S30" t="s">
        <v>33</v>
      </c>
      <c r="T30" s="21">
        <v>1797</v>
      </c>
      <c r="U30" s="21">
        <v>359.4</v>
      </c>
      <c r="V30" s="21">
        <v>1517.6</v>
      </c>
    </row>
    <row r="31" spans="1:22" x14ac:dyDescent="0.25">
      <c r="A31" t="s">
        <v>133</v>
      </c>
      <c r="B31" s="16">
        <v>46212</v>
      </c>
      <c r="C31" t="s">
        <v>46</v>
      </c>
      <c r="D31" t="s">
        <v>47</v>
      </c>
      <c r="E31" t="s">
        <v>25</v>
      </c>
      <c r="F31">
        <v>23</v>
      </c>
      <c r="G31" t="s">
        <v>65</v>
      </c>
      <c r="H31" t="s">
        <v>66</v>
      </c>
      <c r="I31" t="s">
        <v>67</v>
      </c>
      <c r="J31" t="s">
        <v>68</v>
      </c>
      <c r="K31" t="s">
        <v>69</v>
      </c>
      <c r="L31">
        <v>3</v>
      </c>
      <c r="M31" s="21">
        <v>3299</v>
      </c>
      <c r="N31" s="3">
        <v>0.05</v>
      </c>
      <c r="O31" s="21">
        <v>40</v>
      </c>
      <c r="P31" t="s">
        <v>58</v>
      </c>
      <c r="Q31" t="s">
        <v>32</v>
      </c>
      <c r="R31">
        <v>3.5</v>
      </c>
      <c r="S31" t="s">
        <v>76</v>
      </c>
      <c r="T31" s="21">
        <v>9897</v>
      </c>
      <c r="U31" s="21">
        <v>494.85</v>
      </c>
      <c r="V31" s="21">
        <v>9442.15</v>
      </c>
    </row>
    <row r="32" spans="1:22" x14ac:dyDescent="0.25">
      <c r="A32" t="s">
        <v>134</v>
      </c>
      <c r="B32" s="16">
        <v>46055</v>
      </c>
      <c r="C32" t="s">
        <v>114</v>
      </c>
      <c r="D32" t="s">
        <v>115</v>
      </c>
      <c r="E32" t="s">
        <v>25</v>
      </c>
      <c r="F32">
        <v>31</v>
      </c>
      <c r="G32" t="s">
        <v>65</v>
      </c>
      <c r="H32" t="s">
        <v>66</v>
      </c>
      <c r="I32" t="s">
        <v>67</v>
      </c>
      <c r="J32" t="s">
        <v>74</v>
      </c>
      <c r="K32" t="s">
        <v>75</v>
      </c>
      <c r="L32">
        <v>2</v>
      </c>
      <c r="M32" s="21">
        <v>2899</v>
      </c>
      <c r="N32" s="3">
        <v>0.15</v>
      </c>
      <c r="O32" s="21">
        <v>50</v>
      </c>
      <c r="P32" t="s">
        <v>49</v>
      </c>
      <c r="Q32" t="s">
        <v>32</v>
      </c>
      <c r="R32">
        <v>3.5</v>
      </c>
      <c r="S32" t="s">
        <v>76</v>
      </c>
      <c r="T32" s="21">
        <v>5798</v>
      </c>
      <c r="U32" s="21">
        <v>869.7</v>
      </c>
      <c r="V32" s="21">
        <v>4978.3</v>
      </c>
    </row>
    <row r="33" spans="1:22" x14ac:dyDescent="0.25">
      <c r="A33" t="s">
        <v>135</v>
      </c>
      <c r="B33" s="16">
        <v>46214</v>
      </c>
      <c r="C33" t="s">
        <v>23</v>
      </c>
      <c r="D33" t="s">
        <v>24</v>
      </c>
      <c r="E33" t="s">
        <v>25</v>
      </c>
      <c r="F33">
        <v>45</v>
      </c>
      <c r="G33" t="s">
        <v>65</v>
      </c>
      <c r="H33" t="s">
        <v>66</v>
      </c>
      <c r="I33" t="s">
        <v>67</v>
      </c>
      <c r="J33" t="s">
        <v>136</v>
      </c>
      <c r="K33" t="s">
        <v>112</v>
      </c>
      <c r="L33">
        <v>4</v>
      </c>
      <c r="M33" s="21">
        <v>399</v>
      </c>
      <c r="N33" s="3">
        <v>0.2</v>
      </c>
      <c r="O33" s="21">
        <v>50</v>
      </c>
      <c r="P33" t="s">
        <v>82</v>
      </c>
      <c r="Q33" t="s">
        <v>32</v>
      </c>
      <c r="R33">
        <v>4.5</v>
      </c>
      <c r="S33" t="s">
        <v>33</v>
      </c>
      <c r="T33" s="21">
        <v>1596</v>
      </c>
      <c r="U33" s="21">
        <v>319.2</v>
      </c>
      <c r="V33" s="21">
        <v>1326.8</v>
      </c>
    </row>
    <row r="34" spans="1:22" x14ac:dyDescent="0.25">
      <c r="A34" t="s">
        <v>137</v>
      </c>
      <c r="B34" s="16">
        <v>46063</v>
      </c>
      <c r="C34" t="s">
        <v>84</v>
      </c>
      <c r="D34" t="s">
        <v>85</v>
      </c>
      <c r="E34" t="s">
        <v>37</v>
      </c>
      <c r="F34">
        <v>21</v>
      </c>
      <c r="G34" t="s">
        <v>65</v>
      </c>
      <c r="H34" t="s">
        <v>66</v>
      </c>
      <c r="I34" t="s">
        <v>67</v>
      </c>
      <c r="J34" t="s">
        <v>138</v>
      </c>
      <c r="K34" t="s">
        <v>57</v>
      </c>
      <c r="L34">
        <v>2</v>
      </c>
      <c r="M34" s="21">
        <v>1599</v>
      </c>
      <c r="N34" s="3">
        <v>0.1</v>
      </c>
      <c r="O34" s="21">
        <v>80</v>
      </c>
      <c r="P34" t="s">
        <v>31</v>
      </c>
      <c r="Q34" t="s">
        <v>139</v>
      </c>
      <c r="R34">
        <v>3.5</v>
      </c>
      <c r="S34" t="s">
        <v>33</v>
      </c>
      <c r="T34" s="21">
        <v>3198</v>
      </c>
      <c r="U34" s="21">
        <v>319.8</v>
      </c>
      <c r="V34" s="21">
        <v>2958.2</v>
      </c>
    </row>
    <row r="35" spans="1:22" x14ac:dyDescent="0.25">
      <c r="A35" t="s">
        <v>140</v>
      </c>
      <c r="B35" s="16">
        <v>46029</v>
      </c>
      <c r="C35" t="s">
        <v>63</v>
      </c>
      <c r="D35" t="s">
        <v>64</v>
      </c>
      <c r="E35" t="s">
        <v>37</v>
      </c>
      <c r="F35">
        <v>28</v>
      </c>
      <c r="G35" t="s">
        <v>65</v>
      </c>
      <c r="H35" t="s">
        <v>66</v>
      </c>
      <c r="I35" t="s">
        <v>67</v>
      </c>
      <c r="J35" t="s">
        <v>56</v>
      </c>
      <c r="K35" t="s">
        <v>57</v>
      </c>
      <c r="L35">
        <v>2</v>
      </c>
      <c r="M35" s="21">
        <v>2199</v>
      </c>
      <c r="N35" s="3">
        <v>0.05</v>
      </c>
      <c r="O35" s="21">
        <v>40</v>
      </c>
      <c r="P35" t="s">
        <v>58</v>
      </c>
      <c r="Q35" t="s">
        <v>32</v>
      </c>
      <c r="R35">
        <v>4</v>
      </c>
      <c r="S35" t="s">
        <v>44</v>
      </c>
      <c r="T35" s="21">
        <v>4398</v>
      </c>
      <c r="U35" s="21">
        <v>219.9</v>
      </c>
      <c r="V35" s="21">
        <v>4218.1000000000004</v>
      </c>
    </row>
    <row r="36" spans="1:22" x14ac:dyDescent="0.25">
      <c r="A36" t="s">
        <v>141</v>
      </c>
      <c r="B36" s="16">
        <v>46052</v>
      </c>
      <c r="C36" t="s">
        <v>142</v>
      </c>
      <c r="D36" t="s">
        <v>143</v>
      </c>
      <c r="E36" t="s">
        <v>25</v>
      </c>
      <c r="F36">
        <v>38</v>
      </c>
      <c r="G36" t="s">
        <v>71</v>
      </c>
      <c r="H36" t="s">
        <v>72</v>
      </c>
      <c r="I36" t="s">
        <v>67</v>
      </c>
      <c r="J36" t="s">
        <v>88</v>
      </c>
      <c r="K36" t="s">
        <v>75</v>
      </c>
      <c r="L36">
        <v>3</v>
      </c>
      <c r="M36" s="21">
        <v>599</v>
      </c>
      <c r="N36" s="3">
        <v>0</v>
      </c>
      <c r="O36" s="21">
        <v>60</v>
      </c>
      <c r="P36" t="s">
        <v>49</v>
      </c>
      <c r="Q36" t="s">
        <v>116</v>
      </c>
      <c r="R36">
        <v>3</v>
      </c>
      <c r="S36" t="s">
        <v>33</v>
      </c>
      <c r="T36" s="21">
        <v>1797</v>
      </c>
      <c r="U36" s="21">
        <v>0</v>
      </c>
      <c r="V36" s="21">
        <v>1857</v>
      </c>
    </row>
    <row r="37" spans="1:22" x14ac:dyDescent="0.25">
      <c r="A37" t="s">
        <v>144</v>
      </c>
      <c r="B37" s="16">
        <v>46178</v>
      </c>
      <c r="C37" t="s">
        <v>145</v>
      </c>
      <c r="D37" t="s">
        <v>146</v>
      </c>
      <c r="E37" t="s">
        <v>37</v>
      </c>
      <c r="F37">
        <v>38</v>
      </c>
      <c r="G37" t="s">
        <v>71</v>
      </c>
      <c r="H37" t="s">
        <v>72</v>
      </c>
      <c r="I37" t="s">
        <v>67</v>
      </c>
      <c r="J37" t="s">
        <v>106</v>
      </c>
      <c r="K37" t="s">
        <v>57</v>
      </c>
      <c r="L37">
        <v>3</v>
      </c>
      <c r="M37" s="21">
        <v>699</v>
      </c>
      <c r="N37" s="3">
        <v>0.15</v>
      </c>
      <c r="O37" s="21">
        <v>50</v>
      </c>
      <c r="P37" t="s">
        <v>31</v>
      </c>
      <c r="Q37" t="s">
        <v>97</v>
      </c>
      <c r="R37">
        <v>4</v>
      </c>
      <c r="S37" t="s">
        <v>33</v>
      </c>
      <c r="T37" s="21">
        <v>2097</v>
      </c>
      <c r="U37" s="21">
        <v>314.55</v>
      </c>
      <c r="V37" s="21">
        <v>1832.45</v>
      </c>
    </row>
    <row r="38" spans="1:22" x14ac:dyDescent="0.25">
      <c r="A38" t="s">
        <v>147</v>
      </c>
      <c r="B38" s="16">
        <v>46133</v>
      </c>
      <c r="C38" t="s">
        <v>118</v>
      </c>
      <c r="D38" t="s">
        <v>119</v>
      </c>
      <c r="E38" t="s">
        <v>37</v>
      </c>
      <c r="F38">
        <v>41</v>
      </c>
      <c r="G38" t="s">
        <v>26</v>
      </c>
      <c r="H38" t="s">
        <v>27</v>
      </c>
      <c r="I38" t="s">
        <v>28</v>
      </c>
      <c r="J38" t="s">
        <v>136</v>
      </c>
      <c r="K38" t="s">
        <v>112</v>
      </c>
      <c r="L38">
        <v>2</v>
      </c>
      <c r="M38" s="21">
        <v>399</v>
      </c>
      <c r="N38" s="3">
        <v>0.1</v>
      </c>
      <c r="O38" s="21">
        <v>40</v>
      </c>
      <c r="P38" t="s">
        <v>49</v>
      </c>
      <c r="Q38" t="s">
        <v>32</v>
      </c>
      <c r="R38">
        <v>4</v>
      </c>
      <c r="S38" t="s">
        <v>76</v>
      </c>
      <c r="T38" s="21">
        <v>798</v>
      </c>
      <c r="U38" s="21">
        <v>79.8</v>
      </c>
      <c r="V38" s="21">
        <v>758.2</v>
      </c>
    </row>
    <row r="39" spans="1:22" x14ac:dyDescent="0.25">
      <c r="A39" t="s">
        <v>148</v>
      </c>
      <c r="B39" s="16">
        <v>46164</v>
      </c>
      <c r="C39" t="s">
        <v>128</v>
      </c>
      <c r="D39" t="s">
        <v>129</v>
      </c>
      <c r="E39" t="s">
        <v>37</v>
      </c>
      <c r="F39">
        <v>41</v>
      </c>
      <c r="G39" t="s">
        <v>71</v>
      </c>
      <c r="H39" t="s">
        <v>72</v>
      </c>
      <c r="I39" t="s">
        <v>67</v>
      </c>
      <c r="J39" t="s">
        <v>106</v>
      </c>
      <c r="K39" t="s">
        <v>57</v>
      </c>
      <c r="L39">
        <v>4</v>
      </c>
      <c r="M39" s="21">
        <v>699</v>
      </c>
      <c r="N39" s="3">
        <v>0.1</v>
      </c>
      <c r="O39" s="21">
        <v>120</v>
      </c>
      <c r="P39" t="s">
        <v>58</v>
      </c>
      <c r="Q39" t="s">
        <v>32</v>
      </c>
      <c r="R39">
        <v>3.5</v>
      </c>
      <c r="S39" t="s">
        <v>76</v>
      </c>
      <c r="T39" s="21">
        <v>2796</v>
      </c>
      <c r="U39" s="21">
        <v>279.60000000000002</v>
      </c>
      <c r="V39" s="21">
        <v>2636.4</v>
      </c>
    </row>
    <row r="40" spans="1:22" x14ac:dyDescent="0.25">
      <c r="A40" t="s">
        <v>149</v>
      </c>
      <c r="B40" s="16">
        <v>46096</v>
      </c>
      <c r="C40" t="s">
        <v>60</v>
      </c>
      <c r="D40" t="s">
        <v>61</v>
      </c>
      <c r="E40" t="s">
        <v>37</v>
      </c>
      <c r="F40">
        <v>34</v>
      </c>
      <c r="G40" t="s">
        <v>87</v>
      </c>
      <c r="H40" t="s">
        <v>87</v>
      </c>
      <c r="I40" t="s">
        <v>55</v>
      </c>
      <c r="J40" t="s">
        <v>138</v>
      </c>
      <c r="K40" t="s">
        <v>57</v>
      </c>
      <c r="L40">
        <v>1</v>
      </c>
      <c r="M40" s="21">
        <v>1599</v>
      </c>
      <c r="N40" s="3">
        <v>0.1</v>
      </c>
      <c r="O40" s="21">
        <v>80</v>
      </c>
      <c r="P40" t="s">
        <v>43</v>
      </c>
      <c r="Q40" t="s">
        <v>32</v>
      </c>
      <c r="R40">
        <v>4.5</v>
      </c>
      <c r="S40" t="s">
        <v>76</v>
      </c>
      <c r="T40" s="21">
        <v>1599</v>
      </c>
      <c r="U40" s="21">
        <v>159.9</v>
      </c>
      <c r="V40" s="21">
        <v>1519.1</v>
      </c>
    </row>
    <row r="41" spans="1:22" x14ac:dyDescent="0.25">
      <c r="A41" t="s">
        <v>150</v>
      </c>
      <c r="B41" s="16">
        <v>46095</v>
      </c>
      <c r="C41" t="s">
        <v>100</v>
      </c>
      <c r="D41" t="s">
        <v>101</v>
      </c>
      <c r="E41" t="s">
        <v>37</v>
      </c>
      <c r="F41">
        <v>22</v>
      </c>
      <c r="G41" t="s">
        <v>80</v>
      </c>
      <c r="H41" t="s">
        <v>81</v>
      </c>
      <c r="I41" t="s">
        <v>40</v>
      </c>
      <c r="J41" t="s">
        <v>111</v>
      </c>
      <c r="K41" t="s">
        <v>112</v>
      </c>
      <c r="L41">
        <v>2</v>
      </c>
      <c r="M41" s="21">
        <v>999</v>
      </c>
      <c r="N41" s="3">
        <v>0</v>
      </c>
      <c r="O41" s="21">
        <v>50</v>
      </c>
      <c r="P41" t="s">
        <v>43</v>
      </c>
      <c r="Q41" t="s">
        <v>32</v>
      </c>
      <c r="R41">
        <v>4</v>
      </c>
      <c r="S41" t="s">
        <v>33</v>
      </c>
      <c r="T41" s="21">
        <v>1998</v>
      </c>
      <c r="U41" s="21">
        <v>0</v>
      </c>
      <c r="V41" s="21">
        <v>2048</v>
      </c>
    </row>
    <row r="42" spans="1:22" x14ac:dyDescent="0.25">
      <c r="A42" t="s">
        <v>151</v>
      </c>
      <c r="B42" s="16">
        <v>46144</v>
      </c>
      <c r="C42" t="s">
        <v>100</v>
      </c>
      <c r="D42" t="s">
        <v>101</v>
      </c>
      <c r="E42" t="s">
        <v>37</v>
      </c>
      <c r="F42">
        <v>33</v>
      </c>
      <c r="G42" t="s">
        <v>48</v>
      </c>
      <c r="H42" t="s">
        <v>39</v>
      </c>
      <c r="I42" t="s">
        <v>40</v>
      </c>
      <c r="J42" t="s">
        <v>96</v>
      </c>
      <c r="K42" t="s">
        <v>69</v>
      </c>
      <c r="L42">
        <v>1</v>
      </c>
      <c r="M42" s="21">
        <v>2499</v>
      </c>
      <c r="N42" s="3">
        <v>0.05</v>
      </c>
      <c r="O42" s="21">
        <v>120</v>
      </c>
      <c r="P42" t="s">
        <v>31</v>
      </c>
      <c r="Q42" t="s">
        <v>32</v>
      </c>
      <c r="R42">
        <v>5</v>
      </c>
      <c r="S42" t="s">
        <v>33</v>
      </c>
      <c r="T42" s="21">
        <v>2499</v>
      </c>
      <c r="U42" s="21">
        <v>124.95</v>
      </c>
      <c r="V42" s="21">
        <v>2494.0500000000002</v>
      </c>
    </row>
    <row r="43" spans="1:22" x14ac:dyDescent="0.25">
      <c r="A43" t="s">
        <v>152</v>
      </c>
      <c r="B43" s="16">
        <v>46190</v>
      </c>
      <c r="C43" t="s">
        <v>153</v>
      </c>
      <c r="D43" t="s">
        <v>154</v>
      </c>
      <c r="E43" t="s">
        <v>37</v>
      </c>
      <c r="F43">
        <v>27</v>
      </c>
      <c r="G43" t="s">
        <v>94</v>
      </c>
      <c r="H43" t="s">
        <v>95</v>
      </c>
      <c r="I43" t="s">
        <v>67</v>
      </c>
      <c r="J43" t="s">
        <v>138</v>
      </c>
      <c r="K43" t="s">
        <v>57</v>
      </c>
      <c r="L43">
        <v>2</v>
      </c>
      <c r="M43" s="21">
        <v>1599</v>
      </c>
      <c r="N43" s="3">
        <v>0.05</v>
      </c>
      <c r="O43" s="21">
        <v>50</v>
      </c>
      <c r="P43" t="s">
        <v>31</v>
      </c>
      <c r="Q43" t="s">
        <v>32</v>
      </c>
      <c r="R43">
        <v>5</v>
      </c>
      <c r="S43" t="s">
        <v>44</v>
      </c>
      <c r="T43" s="21">
        <v>3198</v>
      </c>
      <c r="U43" s="21">
        <v>159.9</v>
      </c>
      <c r="V43" s="21">
        <v>3088.1</v>
      </c>
    </row>
    <row r="44" spans="1:22" x14ac:dyDescent="0.25">
      <c r="A44" t="s">
        <v>155</v>
      </c>
      <c r="B44" s="16">
        <v>46057</v>
      </c>
      <c r="C44" t="s">
        <v>114</v>
      </c>
      <c r="D44" t="s">
        <v>115</v>
      </c>
      <c r="E44" t="s">
        <v>37</v>
      </c>
      <c r="F44">
        <v>44</v>
      </c>
      <c r="G44" t="s">
        <v>80</v>
      </c>
      <c r="H44" t="s">
        <v>81</v>
      </c>
      <c r="I44" t="s">
        <v>40</v>
      </c>
      <c r="J44" t="s">
        <v>41</v>
      </c>
      <c r="K44" t="s">
        <v>42</v>
      </c>
      <c r="L44">
        <v>1</v>
      </c>
      <c r="M44" s="21">
        <v>1299</v>
      </c>
      <c r="N44" s="3">
        <v>0.15</v>
      </c>
      <c r="O44" s="21">
        <v>80</v>
      </c>
      <c r="P44" t="s">
        <v>43</v>
      </c>
      <c r="Q44" t="s">
        <v>139</v>
      </c>
      <c r="R44">
        <v>5</v>
      </c>
      <c r="S44" t="s">
        <v>76</v>
      </c>
      <c r="T44" s="21">
        <v>1299</v>
      </c>
      <c r="U44" s="21">
        <v>194.85</v>
      </c>
      <c r="V44" s="21">
        <v>1184.1500000000001</v>
      </c>
    </row>
    <row r="45" spans="1:22" x14ac:dyDescent="0.25">
      <c r="A45" t="s">
        <v>156</v>
      </c>
      <c r="B45" s="16">
        <v>46213</v>
      </c>
      <c r="C45" t="s">
        <v>142</v>
      </c>
      <c r="D45" t="s">
        <v>143</v>
      </c>
      <c r="E45" t="s">
        <v>37</v>
      </c>
      <c r="F45">
        <v>44</v>
      </c>
      <c r="G45" t="s">
        <v>71</v>
      </c>
      <c r="H45" t="s">
        <v>72</v>
      </c>
      <c r="I45" t="s">
        <v>67</v>
      </c>
      <c r="J45" t="s">
        <v>136</v>
      </c>
      <c r="K45" t="s">
        <v>112</v>
      </c>
      <c r="L45">
        <v>4</v>
      </c>
      <c r="M45" s="21">
        <v>399</v>
      </c>
      <c r="N45" s="3">
        <v>0.05</v>
      </c>
      <c r="O45" s="21">
        <v>50</v>
      </c>
      <c r="P45" t="s">
        <v>58</v>
      </c>
      <c r="Q45" t="s">
        <v>116</v>
      </c>
      <c r="R45">
        <v>4</v>
      </c>
      <c r="S45" t="s">
        <v>76</v>
      </c>
      <c r="T45" s="21">
        <v>1596</v>
      </c>
      <c r="U45" s="21">
        <v>79.8</v>
      </c>
      <c r="V45" s="21">
        <v>1566.2</v>
      </c>
    </row>
    <row r="46" spans="1:22" x14ac:dyDescent="0.25">
      <c r="A46" t="s">
        <v>157</v>
      </c>
      <c r="B46" s="16">
        <v>46205</v>
      </c>
      <c r="C46" t="s">
        <v>109</v>
      </c>
      <c r="D46" t="s">
        <v>110</v>
      </c>
      <c r="E46" t="s">
        <v>37</v>
      </c>
      <c r="F46">
        <v>30</v>
      </c>
      <c r="G46" t="s">
        <v>38</v>
      </c>
      <c r="H46" t="s">
        <v>39</v>
      </c>
      <c r="I46" t="s">
        <v>40</v>
      </c>
      <c r="J46" t="s">
        <v>56</v>
      </c>
      <c r="K46" t="s">
        <v>57</v>
      </c>
      <c r="L46">
        <v>4</v>
      </c>
      <c r="M46" s="21">
        <v>2199</v>
      </c>
      <c r="N46" s="3">
        <v>0</v>
      </c>
      <c r="O46" s="21">
        <v>100</v>
      </c>
      <c r="P46" t="s">
        <v>49</v>
      </c>
      <c r="Q46" t="s">
        <v>32</v>
      </c>
      <c r="R46">
        <v>3</v>
      </c>
      <c r="S46" t="s">
        <v>33</v>
      </c>
      <c r="T46" s="21">
        <v>8796</v>
      </c>
      <c r="U46" s="21">
        <v>0</v>
      </c>
      <c r="V46" s="21">
        <v>8896</v>
      </c>
    </row>
    <row r="47" spans="1:22" x14ac:dyDescent="0.25">
      <c r="A47" t="s">
        <v>158</v>
      </c>
      <c r="B47" s="16">
        <v>46039</v>
      </c>
      <c r="C47" t="s">
        <v>159</v>
      </c>
      <c r="D47" t="s">
        <v>160</v>
      </c>
      <c r="E47" t="s">
        <v>37</v>
      </c>
      <c r="F47">
        <v>33</v>
      </c>
      <c r="G47" t="s">
        <v>38</v>
      </c>
      <c r="H47" t="s">
        <v>39</v>
      </c>
      <c r="I47" t="s">
        <v>40</v>
      </c>
      <c r="J47" t="s">
        <v>138</v>
      </c>
      <c r="K47" t="s">
        <v>57</v>
      </c>
      <c r="L47">
        <v>2</v>
      </c>
      <c r="M47" s="21">
        <v>1599</v>
      </c>
      <c r="N47" s="3">
        <v>0.05</v>
      </c>
      <c r="O47" s="21">
        <v>40</v>
      </c>
      <c r="P47" t="s">
        <v>49</v>
      </c>
      <c r="Q47" t="s">
        <v>32</v>
      </c>
      <c r="R47">
        <v>3.5</v>
      </c>
      <c r="S47" t="s">
        <v>44</v>
      </c>
      <c r="T47" s="21">
        <v>3198</v>
      </c>
      <c r="U47" s="21">
        <v>159.9</v>
      </c>
      <c r="V47" s="21">
        <v>3078.1</v>
      </c>
    </row>
    <row r="48" spans="1:22" x14ac:dyDescent="0.25">
      <c r="A48" t="s">
        <v>161</v>
      </c>
      <c r="B48" s="16">
        <v>46120</v>
      </c>
      <c r="C48" t="s">
        <v>153</v>
      </c>
      <c r="D48" t="s">
        <v>154</v>
      </c>
      <c r="E48" t="s">
        <v>37</v>
      </c>
      <c r="F48">
        <v>44</v>
      </c>
      <c r="G48" t="s">
        <v>53</v>
      </c>
      <c r="H48" t="s">
        <v>54</v>
      </c>
      <c r="I48" t="s">
        <v>55</v>
      </c>
      <c r="J48" t="s">
        <v>29</v>
      </c>
      <c r="K48" t="s">
        <v>30</v>
      </c>
      <c r="L48">
        <v>1</v>
      </c>
      <c r="M48" s="21">
        <v>899</v>
      </c>
      <c r="N48" s="3">
        <v>0.2</v>
      </c>
      <c r="O48" s="21">
        <v>80</v>
      </c>
      <c r="P48" t="s">
        <v>49</v>
      </c>
      <c r="Q48" t="s">
        <v>32</v>
      </c>
      <c r="R48">
        <v>4.5</v>
      </c>
      <c r="S48" t="s">
        <v>76</v>
      </c>
      <c r="T48" s="21">
        <v>899</v>
      </c>
      <c r="U48" s="21">
        <v>179.8</v>
      </c>
      <c r="V48" s="21">
        <v>799.2</v>
      </c>
    </row>
    <row r="49" spans="1:22" x14ac:dyDescent="0.25">
      <c r="A49" t="s">
        <v>162</v>
      </c>
      <c r="B49" s="16">
        <v>46092</v>
      </c>
      <c r="C49" t="s">
        <v>78</v>
      </c>
      <c r="D49" t="s">
        <v>79</v>
      </c>
      <c r="E49" t="s">
        <v>37</v>
      </c>
      <c r="F49">
        <v>30</v>
      </c>
      <c r="G49" t="s">
        <v>53</v>
      </c>
      <c r="H49" t="s">
        <v>54</v>
      </c>
      <c r="I49" t="s">
        <v>55</v>
      </c>
      <c r="J49" t="s">
        <v>41</v>
      </c>
      <c r="K49" t="s">
        <v>42</v>
      </c>
      <c r="L49">
        <v>4</v>
      </c>
      <c r="M49" s="21">
        <v>1299</v>
      </c>
      <c r="N49" s="3">
        <v>0.05</v>
      </c>
      <c r="O49" s="21">
        <v>120</v>
      </c>
      <c r="P49" t="s">
        <v>31</v>
      </c>
      <c r="Q49" t="s">
        <v>32</v>
      </c>
      <c r="R49">
        <v>4.5</v>
      </c>
      <c r="S49" t="s">
        <v>76</v>
      </c>
      <c r="T49" s="21">
        <v>5196</v>
      </c>
      <c r="U49" s="21">
        <v>259.8</v>
      </c>
      <c r="V49" s="21">
        <v>5056.2</v>
      </c>
    </row>
    <row r="50" spans="1:22" x14ac:dyDescent="0.25">
      <c r="A50" t="s">
        <v>163</v>
      </c>
      <c r="B50" s="16">
        <v>46174</v>
      </c>
      <c r="C50" t="s">
        <v>84</v>
      </c>
      <c r="D50" t="s">
        <v>85</v>
      </c>
      <c r="E50" t="s">
        <v>25</v>
      </c>
      <c r="F50">
        <v>40</v>
      </c>
      <c r="G50" t="s">
        <v>94</v>
      </c>
      <c r="H50" t="s">
        <v>95</v>
      </c>
      <c r="I50" t="s">
        <v>67</v>
      </c>
      <c r="J50" t="s">
        <v>68</v>
      </c>
      <c r="K50" t="s">
        <v>69</v>
      </c>
      <c r="L50">
        <v>1</v>
      </c>
      <c r="M50" s="21">
        <v>3299</v>
      </c>
      <c r="N50" s="3">
        <v>0.15</v>
      </c>
      <c r="O50" s="21">
        <v>80</v>
      </c>
      <c r="P50" t="s">
        <v>31</v>
      </c>
      <c r="Q50" t="s">
        <v>32</v>
      </c>
      <c r="R50">
        <v>3.5</v>
      </c>
      <c r="S50" t="s">
        <v>44</v>
      </c>
      <c r="T50" s="21">
        <v>3299</v>
      </c>
      <c r="U50" s="21">
        <v>494.85</v>
      </c>
      <c r="V50" s="21">
        <v>2884.15</v>
      </c>
    </row>
    <row r="51" spans="1:22" x14ac:dyDescent="0.25">
      <c r="A51" t="s">
        <v>164</v>
      </c>
      <c r="B51" s="16">
        <v>46077</v>
      </c>
      <c r="C51" t="s">
        <v>84</v>
      </c>
      <c r="D51" t="s">
        <v>85</v>
      </c>
      <c r="E51" t="s">
        <v>37</v>
      </c>
      <c r="F51">
        <v>28</v>
      </c>
      <c r="G51" t="s">
        <v>26</v>
      </c>
      <c r="H51" t="s">
        <v>27</v>
      </c>
      <c r="I51" t="s">
        <v>28</v>
      </c>
      <c r="J51" t="s">
        <v>56</v>
      </c>
      <c r="K51" t="s">
        <v>57</v>
      </c>
      <c r="L51">
        <v>4</v>
      </c>
      <c r="M51" s="21">
        <v>2199</v>
      </c>
      <c r="N51" s="3">
        <v>0.1</v>
      </c>
      <c r="O51" s="21">
        <v>80</v>
      </c>
      <c r="P51" t="s">
        <v>49</v>
      </c>
      <c r="Q51" t="s">
        <v>32</v>
      </c>
      <c r="R51">
        <v>4</v>
      </c>
      <c r="S51" t="s">
        <v>33</v>
      </c>
      <c r="T51" s="21">
        <v>8796</v>
      </c>
      <c r="U51" s="21">
        <v>879.6</v>
      </c>
      <c r="V51" s="21">
        <v>7996.4</v>
      </c>
    </row>
    <row r="52" spans="1:22" x14ac:dyDescent="0.25">
      <c r="A52" t="s">
        <v>165</v>
      </c>
      <c r="B52" s="16">
        <v>46080</v>
      </c>
      <c r="C52" t="s">
        <v>109</v>
      </c>
      <c r="D52" t="s">
        <v>110</v>
      </c>
      <c r="E52" t="s">
        <v>25</v>
      </c>
      <c r="F52">
        <v>27</v>
      </c>
      <c r="G52" t="s">
        <v>26</v>
      </c>
      <c r="H52" t="s">
        <v>27</v>
      </c>
      <c r="I52" t="s">
        <v>28</v>
      </c>
      <c r="J52" t="s">
        <v>29</v>
      </c>
      <c r="K52" t="s">
        <v>30</v>
      </c>
      <c r="L52">
        <v>1</v>
      </c>
      <c r="M52" s="21">
        <v>899</v>
      </c>
      <c r="N52" s="3">
        <v>0.1</v>
      </c>
      <c r="O52" s="21">
        <v>50</v>
      </c>
      <c r="P52" t="s">
        <v>31</v>
      </c>
      <c r="Q52" t="s">
        <v>32</v>
      </c>
      <c r="R52">
        <v>3</v>
      </c>
      <c r="S52" t="s">
        <v>76</v>
      </c>
      <c r="T52" s="21">
        <v>899</v>
      </c>
      <c r="U52" s="21">
        <v>89.9</v>
      </c>
      <c r="V52" s="21">
        <v>859.1</v>
      </c>
    </row>
    <row r="53" spans="1:22" x14ac:dyDescent="0.25">
      <c r="A53" t="s">
        <v>166</v>
      </c>
      <c r="B53" s="16">
        <v>46167</v>
      </c>
      <c r="C53" t="s">
        <v>159</v>
      </c>
      <c r="D53" t="s">
        <v>160</v>
      </c>
      <c r="E53" t="s">
        <v>37</v>
      </c>
      <c r="F53">
        <v>44</v>
      </c>
      <c r="G53" t="s">
        <v>38</v>
      </c>
      <c r="H53" t="s">
        <v>39</v>
      </c>
      <c r="I53" t="s">
        <v>40</v>
      </c>
      <c r="J53" t="s">
        <v>68</v>
      </c>
      <c r="K53" t="s">
        <v>69</v>
      </c>
      <c r="L53">
        <v>4</v>
      </c>
      <c r="M53" s="21">
        <v>3299</v>
      </c>
      <c r="N53" s="3">
        <v>0</v>
      </c>
      <c r="O53" s="21">
        <v>60</v>
      </c>
      <c r="P53" t="s">
        <v>58</v>
      </c>
      <c r="Q53" t="s">
        <v>97</v>
      </c>
      <c r="R53">
        <v>3.5</v>
      </c>
      <c r="S53" t="s">
        <v>76</v>
      </c>
      <c r="T53" s="21">
        <v>13196</v>
      </c>
      <c r="U53" s="21">
        <v>0</v>
      </c>
      <c r="V53" s="21">
        <v>13256</v>
      </c>
    </row>
    <row r="54" spans="1:22" x14ac:dyDescent="0.25">
      <c r="A54" t="s">
        <v>167</v>
      </c>
      <c r="B54" s="16">
        <v>46171</v>
      </c>
      <c r="C54" t="s">
        <v>145</v>
      </c>
      <c r="D54" t="s">
        <v>146</v>
      </c>
      <c r="E54" t="s">
        <v>37</v>
      </c>
      <c r="F54">
        <v>32</v>
      </c>
      <c r="G54" t="s">
        <v>105</v>
      </c>
      <c r="H54" t="s">
        <v>27</v>
      </c>
      <c r="I54" t="s">
        <v>28</v>
      </c>
      <c r="J54" t="s">
        <v>68</v>
      </c>
      <c r="K54" t="s">
        <v>69</v>
      </c>
      <c r="L54">
        <v>3</v>
      </c>
      <c r="M54" s="21">
        <v>3299</v>
      </c>
      <c r="N54" s="3">
        <v>0</v>
      </c>
      <c r="O54" s="21">
        <v>120</v>
      </c>
      <c r="P54" t="s">
        <v>49</v>
      </c>
      <c r="Q54" t="s">
        <v>32</v>
      </c>
      <c r="R54">
        <v>3.5</v>
      </c>
      <c r="S54" t="s">
        <v>33</v>
      </c>
      <c r="T54" s="21">
        <v>9897</v>
      </c>
      <c r="U54" s="21">
        <v>0</v>
      </c>
      <c r="V54" s="21">
        <v>10017</v>
      </c>
    </row>
    <row r="55" spans="1:22" x14ac:dyDescent="0.25">
      <c r="A55" t="s">
        <v>168</v>
      </c>
      <c r="B55" s="16">
        <v>46229</v>
      </c>
      <c r="C55" t="s">
        <v>60</v>
      </c>
      <c r="D55" t="s">
        <v>61</v>
      </c>
      <c r="E55" t="s">
        <v>25</v>
      </c>
      <c r="F55">
        <v>31</v>
      </c>
      <c r="G55" t="s">
        <v>38</v>
      </c>
      <c r="H55" t="s">
        <v>39</v>
      </c>
      <c r="I55" t="s">
        <v>40</v>
      </c>
      <c r="J55" t="s">
        <v>90</v>
      </c>
      <c r="K55" t="s">
        <v>69</v>
      </c>
      <c r="L55">
        <v>3</v>
      </c>
      <c r="M55" s="21">
        <v>1799</v>
      </c>
      <c r="N55" s="3">
        <v>0.2</v>
      </c>
      <c r="O55" s="21">
        <v>100</v>
      </c>
      <c r="P55" t="s">
        <v>43</v>
      </c>
      <c r="Q55" t="s">
        <v>32</v>
      </c>
      <c r="R55">
        <v>4.5</v>
      </c>
      <c r="S55" t="s">
        <v>76</v>
      </c>
      <c r="T55" s="21">
        <v>5397</v>
      </c>
      <c r="U55" s="21">
        <v>1079.4000000000001</v>
      </c>
      <c r="V55" s="21">
        <v>4417.6000000000004</v>
      </c>
    </row>
    <row r="56" spans="1:22" x14ac:dyDescent="0.25">
      <c r="A56" t="s">
        <v>169</v>
      </c>
      <c r="B56" s="16">
        <v>46240</v>
      </c>
      <c r="C56" t="s">
        <v>51</v>
      </c>
      <c r="D56" t="s">
        <v>52</v>
      </c>
      <c r="E56" t="s">
        <v>25</v>
      </c>
      <c r="F56">
        <v>33</v>
      </c>
      <c r="G56" t="s">
        <v>105</v>
      </c>
      <c r="H56" t="s">
        <v>27</v>
      </c>
      <c r="I56" t="s">
        <v>28</v>
      </c>
      <c r="J56" t="s">
        <v>136</v>
      </c>
      <c r="K56" t="s">
        <v>112</v>
      </c>
      <c r="L56">
        <v>3</v>
      </c>
      <c r="M56" s="21">
        <v>399</v>
      </c>
      <c r="N56" s="3">
        <v>0</v>
      </c>
      <c r="O56" s="21">
        <v>60</v>
      </c>
      <c r="P56" t="s">
        <v>58</v>
      </c>
      <c r="Q56" t="s">
        <v>32</v>
      </c>
      <c r="R56">
        <v>4.5</v>
      </c>
      <c r="S56" t="s">
        <v>76</v>
      </c>
      <c r="T56" s="21">
        <v>1197</v>
      </c>
      <c r="U56" s="21">
        <v>0</v>
      </c>
      <c r="V56" s="21">
        <v>1257</v>
      </c>
    </row>
    <row r="57" spans="1:22" x14ac:dyDescent="0.25">
      <c r="A57" t="s">
        <v>170</v>
      </c>
      <c r="B57" s="16">
        <v>46229</v>
      </c>
      <c r="C57" t="s">
        <v>159</v>
      </c>
      <c r="D57" t="s">
        <v>160</v>
      </c>
      <c r="E57" t="s">
        <v>37</v>
      </c>
      <c r="F57">
        <v>33</v>
      </c>
      <c r="G57" t="s">
        <v>71</v>
      </c>
      <c r="H57" t="s">
        <v>72</v>
      </c>
      <c r="I57" t="s">
        <v>67</v>
      </c>
      <c r="J57" t="s">
        <v>68</v>
      </c>
      <c r="K57" t="s">
        <v>69</v>
      </c>
      <c r="L57">
        <v>3</v>
      </c>
      <c r="M57" s="21">
        <v>3299</v>
      </c>
      <c r="N57" s="3">
        <v>0.2</v>
      </c>
      <c r="O57" s="21">
        <v>120</v>
      </c>
      <c r="P57" t="s">
        <v>58</v>
      </c>
      <c r="Q57" t="s">
        <v>116</v>
      </c>
      <c r="R57">
        <v>5</v>
      </c>
      <c r="S57" t="s">
        <v>44</v>
      </c>
      <c r="T57" s="21">
        <v>9897</v>
      </c>
      <c r="U57" s="21">
        <v>1979.4</v>
      </c>
      <c r="V57" s="21">
        <v>8037.6</v>
      </c>
    </row>
    <row r="58" spans="1:22" x14ac:dyDescent="0.25">
      <c r="A58" t="s">
        <v>171</v>
      </c>
      <c r="B58" s="16">
        <v>46085</v>
      </c>
      <c r="C58" t="s">
        <v>92</v>
      </c>
      <c r="D58" t="s">
        <v>93</v>
      </c>
      <c r="E58" t="s">
        <v>37</v>
      </c>
      <c r="F58">
        <v>30</v>
      </c>
      <c r="G58" t="s">
        <v>38</v>
      </c>
      <c r="H58" t="s">
        <v>39</v>
      </c>
      <c r="I58" t="s">
        <v>40</v>
      </c>
      <c r="J58" t="s">
        <v>90</v>
      </c>
      <c r="K58" t="s">
        <v>69</v>
      </c>
      <c r="L58">
        <v>3</v>
      </c>
      <c r="M58" s="21">
        <v>1799</v>
      </c>
      <c r="N58" s="3">
        <v>0.15</v>
      </c>
      <c r="O58" s="21">
        <v>40</v>
      </c>
      <c r="P58" t="s">
        <v>43</v>
      </c>
      <c r="Q58" t="s">
        <v>32</v>
      </c>
      <c r="R58">
        <v>4.5</v>
      </c>
      <c r="S58" t="s">
        <v>44</v>
      </c>
      <c r="T58" s="21">
        <v>5397</v>
      </c>
      <c r="U58" s="21">
        <v>809.55</v>
      </c>
      <c r="V58" s="21">
        <v>4627.45</v>
      </c>
    </row>
    <row r="59" spans="1:22" x14ac:dyDescent="0.25">
      <c r="A59" t="s">
        <v>172</v>
      </c>
      <c r="B59" s="16">
        <v>46110</v>
      </c>
      <c r="C59" t="s">
        <v>84</v>
      </c>
      <c r="D59" t="s">
        <v>85</v>
      </c>
      <c r="E59" t="s">
        <v>37</v>
      </c>
      <c r="F59">
        <v>37</v>
      </c>
      <c r="G59" t="s">
        <v>94</v>
      </c>
      <c r="H59" t="s">
        <v>95</v>
      </c>
      <c r="I59" t="s">
        <v>67</v>
      </c>
      <c r="J59" t="s">
        <v>41</v>
      </c>
      <c r="K59" t="s">
        <v>42</v>
      </c>
      <c r="L59">
        <v>3</v>
      </c>
      <c r="M59" s="21">
        <v>1299</v>
      </c>
      <c r="N59" s="3">
        <v>0.1</v>
      </c>
      <c r="O59" s="21">
        <v>40</v>
      </c>
      <c r="P59" t="s">
        <v>43</v>
      </c>
      <c r="Q59" t="s">
        <v>32</v>
      </c>
      <c r="R59">
        <v>5</v>
      </c>
      <c r="S59" t="s">
        <v>33</v>
      </c>
      <c r="T59" s="21">
        <v>3897</v>
      </c>
      <c r="U59" s="21">
        <v>389.7</v>
      </c>
      <c r="V59" s="21">
        <v>3547.3</v>
      </c>
    </row>
    <row r="60" spans="1:22" x14ac:dyDescent="0.25">
      <c r="A60" t="s">
        <v>173</v>
      </c>
      <c r="B60" s="16">
        <v>46165</v>
      </c>
      <c r="C60" t="s">
        <v>35</v>
      </c>
      <c r="D60" t="s">
        <v>36</v>
      </c>
      <c r="E60" t="s">
        <v>37</v>
      </c>
      <c r="F60">
        <v>34</v>
      </c>
      <c r="G60" t="s">
        <v>38</v>
      </c>
      <c r="H60" t="s">
        <v>39</v>
      </c>
      <c r="I60" t="s">
        <v>40</v>
      </c>
      <c r="J60" t="s">
        <v>29</v>
      </c>
      <c r="K60" t="s">
        <v>30</v>
      </c>
      <c r="L60">
        <v>4</v>
      </c>
      <c r="M60" s="21">
        <v>899</v>
      </c>
      <c r="N60" s="3">
        <v>0.15</v>
      </c>
      <c r="O60" s="21">
        <v>40</v>
      </c>
      <c r="P60" t="s">
        <v>58</v>
      </c>
      <c r="Q60" t="s">
        <v>32</v>
      </c>
      <c r="R60">
        <v>3</v>
      </c>
      <c r="S60" t="s">
        <v>44</v>
      </c>
      <c r="T60" s="21">
        <v>3596</v>
      </c>
      <c r="U60" s="21">
        <v>539.4</v>
      </c>
      <c r="V60" s="21">
        <v>3096.6</v>
      </c>
    </row>
    <row r="61" spans="1:22" x14ac:dyDescent="0.25">
      <c r="A61" t="s">
        <v>174</v>
      </c>
      <c r="B61" s="16">
        <v>46192</v>
      </c>
      <c r="C61" t="s">
        <v>103</v>
      </c>
      <c r="D61" t="s">
        <v>104</v>
      </c>
      <c r="E61" t="s">
        <v>37</v>
      </c>
      <c r="F61">
        <v>33</v>
      </c>
      <c r="G61" t="s">
        <v>71</v>
      </c>
      <c r="H61" t="s">
        <v>72</v>
      </c>
      <c r="I61" t="s">
        <v>67</v>
      </c>
      <c r="J61" t="s">
        <v>29</v>
      </c>
      <c r="K61" t="s">
        <v>30</v>
      </c>
      <c r="L61">
        <v>2</v>
      </c>
      <c r="M61" s="21">
        <v>899</v>
      </c>
      <c r="N61" s="3">
        <v>0.1</v>
      </c>
      <c r="O61" s="21">
        <v>120</v>
      </c>
      <c r="P61" t="s">
        <v>58</v>
      </c>
      <c r="Q61" t="s">
        <v>32</v>
      </c>
      <c r="R61">
        <v>5</v>
      </c>
      <c r="S61" t="s">
        <v>44</v>
      </c>
      <c r="T61" s="21">
        <v>1798</v>
      </c>
      <c r="U61" s="21">
        <v>179.8</v>
      </c>
      <c r="V61" s="21">
        <v>1738.2</v>
      </c>
    </row>
    <row r="62" spans="1:22" x14ac:dyDescent="0.25">
      <c r="A62" t="s">
        <v>175</v>
      </c>
      <c r="B62" s="16">
        <v>46082</v>
      </c>
      <c r="C62" t="s">
        <v>51</v>
      </c>
      <c r="D62" t="s">
        <v>52</v>
      </c>
      <c r="E62" t="s">
        <v>37</v>
      </c>
      <c r="F62">
        <v>23</v>
      </c>
      <c r="G62" t="s">
        <v>94</v>
      </c>
      <c r="H62" t="s">
        <v>95</v>
      </c>
      <c r="I62" t="s">
        <v>67</v>
      </c>
      <c r="J62" t="s">
        <v>56</v>
      </c>
      <c r="K62" t="s">
        <v>57</v>
      </c>
      <c r="L62">
        <v>3</v>
      </c>
      <c r="M62" s="21">
        <v>2199</v>
      </c>
      <c r="N62" s="3">
        <v>0.1</v>
      </c>
      <c r="O62" s="21">
        <v>120</v>
      </c>
      <c r="P62" t="s">
        <v>82</v>
      </c>
      <c r="Q62" t="s">
        <v>32</v>
      </c>
      <c r="R62">
        <v>5</v>
      </c>
      <c r="S62" t="s">
        <v>76</v>
      </c>
      <c r="T62" s="21">
        <v>6597</v>
      </c>
      <c r="U62" s="21">
        <v>659.7</v>
      </c>
      <c r="V62" s="21">
        <v>6057.3</v>
      </c>
    </row>
    <row r="63" spans="1:22" x14ac:dyDescent="0.25">
      <c r="A63" t="s">
        <v>176</v>
      </c>
      <c r="B63" s="16">
        <v>46208</v>
      </c>
      <c r="C63" t="s">
        <v>84</v>
      </c>
      <c r="D63" t="s">
        <v>85</v>
      </c>
      <c r="E63" t="s">
        <v>37</v>
      </c>
      <c r="F63">
        <v>23</v>
      </c>
      <c r="G63" t="s">
        <v>38</v>
      </c>
      <c r="H63" t="s">
        <v>39</v>
      </c>
      <c r="I63" t="s">
        <v>40</v>
      </c>
      <c r="J63" t="s">
        <v>41</v>
      </c>
      <c r="K63" t="s">
        <v>42</v>
      </c>
      <c r="L63">
        <v>4</v>
      </c>
      <c r="M63" s="21">
        <v>1299</v>
      </c>
      <c r="N63" s="3">
        <v>0.1</v>
      </c>
      <c r="O63" s="21">
        <v>50</v>
      </c>
      <c r="P63" t="s">
        <v>43</v>
      </c>
      <c r="Q63" t="s">
        <v>32</v>
      </c>
      <c r="R63">
        <v>4</v>
      </c>
      <c r="S63" t="s">
        <v>33</v>
      </c>
      <c r="T63" s="21">
        <v>5196</v>
      </c>
      <c r="U63" s="21">
        <v>519.6</v>
      </c>
      <c r="V63" s="21">
        <v>4726.3999999999996</v>
      </c>
    </row>
    <row r="64" spans="1:22" x14ac:dyDescent="0.25">
      <c r="A64" t="s">
        <v>177</v>
      </c>
      <c r="B64" s="16">
        <v>46055</v>
      </c>
      <c r="C64" t="s">
        <v>51</v>
      </c>
      <c r="D64" t="s">
        <v>52</v>
      </c>
      <c r="E64" t="s">
        <v>37</v>
      </c>
      <c r="F64">
        <v>42</v>
      </c>
      <c r="G64" t="s">
        <v>48</v>
      </c>
      <c r="H64" t="s">
        <v>39</v>
      </c>
      <c r="I64" t="s">
        <v>40</v>
      </c>
      <c r="J64" t="s">
        <v>56</v>
      </c>
      <c r="K64" t="s">
        <v>57</v>
      </c>
      <c r="L64">
        <v>1</v>
      </c>
      <c r="M64" s="21">
        <v>2199</v>
      </c>
      <c r="N64" s="3">
        <v>0.2</v>
      </c>
      <c r="O64" s="21">
        <v>50</v>
      </c>
      <c r="P64" t="s">
        <v>31</v>
      </c>
      <c r="Q64" t="s">
        <v>32</v>
      </c>
      <c r="R64">
        <v>4.5</v>
      </c>
      <c r="S64" t="s">
        <v>33</v>
      </c>
      <c r="T64" s="21">
        <v>2199</v>
      </c>
      <c r="U64" s="21">
        <v>439.8</v>
      </c>
      <c r="V64" s="21">
        <v>1809.2</v>
      </c>
    </row>
    <row r="65" spans="1:22" x14ac:dyDescent="0.25">
      <c r="A65" t="s">
        <v>178</v>
      </c>
      <c r="B65" s="16">
        <v>46135</v>
      </c>
      <c r="C65" t="s">
        <v>46</v>
      </c>
      <c r="D65" t="s">
        <v>47</v>
      </c>
      <c r="E65" t="s">
        <v>37</v>
      </c>
      <c r="F65">
        <v>35</v>
      </c>
      <c r="G65" t="s">
        <v>53</v>
      </c>
      <c r="H65" t="s">
        <v>54</v>
      </c>
      <c r="I65" t="s">
        <v>55</v>
      </c>
      <c r="J65" t="s">
        <v>56</v>
      </c>
      <c r="K65" t="s">
        <v>57</v>
      </c>
      <c r="L65">
        <v>4</v>
      </c>
      <c r="M65" s="21">
        <v>2199</v>
      </c>
      <c r="N65" s="3">
        <v>0.15</v>
      </c>
      <c r="O65" s="21">
        <v>40</v>
      </c>
      <c r="P65" t="s">
        <v>31</v>
      </c>
      <c r="Q65" t="s">
        <v>32</v>
      </c>
      <c r="R65">
        <v>3</v>
      </c>
      <c r="S65" t="s">
        <v>44</v>
      </c>
      <c r="T65" s="21">
        <v>8796</v>
      </c>
      <c r="U65" s="21">
        <v>1319.4</v>
      </c>
      <c r="V65" s="21">
        <v>7516.6</v>
      </c>
    </row>
    <row r="66" spans="1:22" x14ac:dyDescent="0.25">
      <c r="A66" t="s">
        <v>179</v>
      </c>
      <c r="B66" s="16">
        <v>46061</v>
      </c>
      <c r="C66" t="s">
        <v>109</v>
      </c>
      <c r="D66" t="s">
        <v>110</v>
      </c>
      <c r="E66" t="s">
        <v>25</v>
      </c>
      <c r="F66">
        <v>27</v>
      </c>
      <c r="G66" t="s">
        <v>105</v>
      </c>
      <c r="H66" t="s">
        <v>27</v>
      </c>
      <c r="I66" t="s">
        <v>28</v>
      </c>
      <c r="J66" t="s">
        <v>74</v>
      </c>
      <c r="K66" t="s">
        <v>75</v>
      </c>
      <c r="L66">
        <v>1</v>
      </c>
      <c r="M66" s="21">
        <v>2899</v>
      </c>
      <c r="N66" s="3">
        <v>0.05</v>
      </c>
      <c r="O66" s="21">
        <v>40</v>
      </c>
      <c r="P66" t="s">
        <v>49</v>
      </c>
      <c r="Q66" t="s">
        <v>139</v>
      </c>
      <c r="R66">
        <v>5</v>
      </c>
      <c r="S66" t="s">
        <v>44</v>
      </c>
      <c r="T66" s="21">
        <v>2899</v>
      </c>
      <c r="U66" s="21">
        <v>144.94999999999999</v>
      </c>
      <c r="V66" s="21">
        <v>2794.05</v>
      </c>
    </row>
    <row r="67" spans="1:22" x14ac:dyDescent="0.25">
      <c r="A67" t="s">
        <v>180</v>
      </c>
      <c r="B67" s="16">
        <v>46120</v>
      </c>
      <c r="C67" t="s">
        <v>145</v>
      </c>
      <c r="D67" t="s">
        <v>146</v>
      </c>
      <c r="E67" t="s">
        <v>37</v>
      </c>
      <c r="F67">
        <v>38</v>
      </c>
      <c r="G67" t="s">
        <v>53</v>
      </c>
      <c r="H67" t="s">
        <v>54</v>
      </c>
      <c r="I67" t="s">
        <v>55</v>
      </c>
      <c r="J67" t="s">
        <v>74</v>
      </c>
      <c r="K67" t="s">
        <v>75</v>
      </c>
      <c r="L67">
        <v>2</v>
      </c>
      <c r="M67" s="21">
        <v>2899</v>
      </c>
      <c r="N67" s="3">
        <v>0.2</v>
      </c>
      <c r="O67" s="21">
        <v>80</v>
      </c>
      <c r="P67" t="s">
        <v>58</v>
      </c>
      <c r="Q67" t="s">
        <v>32</v>
      </c>
      <c r="R67">
        <v>4</v>
      </c>
      <c r="S67" t="s">
        <v>76</v>
      </c>
      <c r="T67" s="21">
        <v>5798</v>
      </c>
      <c r="U67" s="21">
        <v>1159.5999999999999</v>
      </c>
      <c r="V67" s="21">
        <v>4718.3999999999996</v>
      </c>
    </row>
    <row r="68" spans="1:22" x14ac:dyDescent="0.25">
      <c r="A68" t="s">
        <v>181</v>
      </c>
      <c r="B68" s="16">
        <v>46183</v>
      </c>
      <c r="C68" t="s">
        <v>145</v>
      </c>
      <c r="D68" t="s">
        <v>146</v>
      </c>
      <c r="E68" t="s">
        <v>25</v>
      </c>
      <c r="F68">
        <v>27</v>
      </c>
      <c r="G68" t="s">
        <v>26</v>
      </c>
      <c r="H68" t="s">
        <v>27</v>
      </c>
      <c r="I68" t="s">
        <v>28</v>
      </c>
      <c r="J68" t="s">
        <v>74</v>
      </c>
      <c r="K68" t="s">
        <v>75</v>
      </c>
      <c r="L68">
        <v>1</v>
      </c>
      <c r="M68" s="21">
        <v>2899</v>
      </c>
      <c r="N68" s="3">
        <v>0.05</v>
      </c>
      <c r="O68" s="21">
        <v>50</v>
      </c>
      <c r="P68" t="s">
        <v>31</v>
      </c>
      <c r="Q68" t="s">
        <v>32</v>
      </c>
      <c r="R68">
        <v>5</v>
      </c>
      <c r="S68" t="s">
        <v>33</v>
      </c>
      <c r="T68" s="21">
        <v>2899</v>
      </c>
      <c r="U68" s="21">
        <v>144.94999999999999</v>
      </c>
      <c r="V68" s="21">
        <v>2804.05</v>
      </c>
    </row>
    <row r="69" spans="1:22" x14ac:dyDescent="0.25">
      <c r="A69" t="s">
        <v>182</v>
      </c>
      <c r="B69" s="16">
        <v>46143</v>
      </c>
      <c r="C69" t="s">
        <v>84</v>
      </c>
      <c r="D69" t="s">
        <v>85</v>
      </c>
      <c r="E69" t="s">
        <v>37</v>
      </c>
      <c r="F69">
        <v>42</v>
      </c>
      <c r="G69" t="s">
        <v>26</v>
      </c>
      <c r="H69" t="s">
        <v>27</v>
      </c>
      <c r="I69" t="s">
        <v>28</v>
      </c>
      <c r="J69" t="s">
        <v>138</v>
      </c>
      <c r="K69" t="s">
        <v>57</v>
      </c>
      <c r="L69">
        <v>4</v>
      </c>
      <c r="M69" s="21">
        <v>1599</v>
      </c>
      <c r="N69" s="3">
        <v>0.2</v>
      </c>
      <c r="O69" s="21">
        <v>60</v>
      </c>
      <c r="P69" t="s">
        <v>82</v>
      </c>
      <c r="Q69" t="s">
        <v>32</v>
      </c>
      <c r="R69">
        <v>4.5</v>
      </c>
      <c r="S69" t="s">
        <v>33</v>
      </c>
      <c r="T69" s="21">
        <v>6396</v>
      </c>
      <c r="U69" s="21">
        <v>1279.2</v>
      </c>
      <c r="V69" s="21">
        <v>5176.8</v>
      </c>
    </row>
    <row r="70" spans="1:22" x14ac:dyDescent="0.25">
      <c r="A70" t="s">
        <v>183</v>
      </c>
      <c r="B70" s="16">
        <v>46052</v>
      </c>
      <c r="C70" t="s">
        <v>103</v>
      </c>
      <c r="D70" t="s">
        <v>104</v>
      </c>
      <c r="E70" t="s">
        <v>37</v>
      </c>
      <c r="F70">
        <v>24</v>
      </c>
      <c r="G70" t="s">
        <v>87</v>
      </c>
      <c r="H70" t="s">
        <v>87</v>
      </c>
      <c r="I70" t="s">
        <v>55</v>
      </c>
      <c r="J70" t="s">
        <v>88</v>
      </c>
      <c r="K70" t="s">
        <v>75</v>
      </c>
      <c r="L70">
        <v>2</v>
      </c>
      <c r="M70" s="21">
        <v>599</v>
      </c>
      <c r="N70" s="3">
        <v>0.15</v>
      </c>
      <c r="O70" s="21">
        <v>40</v>
      </c>
      <c r="P70" t="s">
        <v>82</v>
      </c>
      <c r="Q70" t="s">
        <v>32</v>
      </c>
      <c r="R70">
        <v>3</v>
      </c>
      <c r="S70" t="s">
        <v>33</v>
      </c>
      <c r="T70" s="21">
        <v>1198</v>
      </c>
      <c r="U70" s="21">
        <v>179.7</v>
      </c>
      <c r="V70" s="21">
        <v>1058.3</v>
      </c>
    </row>
    <row r="71" spans="1:22" x14ac:dyDescent="0.25">
      <c r="A71" t="s">
        <v>184</v>
      </c>
      <c r="B71" s="16">
        <v>46054</v>
      </c>
      <c r="C71" t="s">
        <v>128</v>
      </c>
      <c r="D71" t="s">
        <v>129</v>
      </c>
      <c r="E71" t="s">
        <v>37</v>
      </c>
      <c r="F71">
        <v>28</v>
      </c>
      <c r="G71" t="s">
        <v>53</v>
      </c>
      <c r="H71" t="s">
        <v>54</v>
      </c>
      <c r="I71" t="s">
        <v>55</v>
      </c>
      <c r="J71" t="s">
        <v>29</v>
      </c>
      <c r="K71" t="s">
        <v>30</v>
      </c>
      <c r="L71">
        <v>3</v>
      </c>
      <c r="M71" s="21">
        <v>899</v>
      </c>
      <c r="N71" s="3">
        <v>0.15</v>
      </c>
      <c r="O71" s="21">
        <v>100</v>
      </c>
      <c r="P71" t="s">
        <v>49</v>
      </c>
      <c r="Q71" t="s">
        <v>32</v>
      </c>
      <c r="R71">
        <v>5</v>
      </c>
      <c r="S71" t="s">
        <v>44</v>
      </c>
      <c r="T71" s="21">
        <v>2697</v>
      </c>
      <c r="U71" s="21">
        <v>404.55</v>
      </c>
      <c r="V71" s="21">
        <v>2392.4499999999998</v>
      </c>
    </row>
    <row r="72" spans="1:22" x14ac:dyDescent="0.25">
      <c r="A72" t="s">
        <v>185</v>
      </c>
      <c r="B72" s="16">
        <v>46211</v>
      </c>
      <c r="C72" t="s">
        <v>63</v>
      </c>
      <c r="D72" t="s">
        <v>64</v>
      </c>
      <c r="E72" t="s">
        <v>25</v>
      </c>
      <c r="F72">
        <v>22</v>
      </c>
      <c r="G72" t="s">
        <v>105</v>
      </c>
      <c r="H72" t="s">
        <v>27</v>
      </c>
      <c r="I72" t="s">
        <v>28</v>
      </c>
      <c r="J72" t="s">
        <v>74</v>
      </c>
      <c r="K72" t="s">
        <v>75</v>
      </c>
      <c r="L72">
        <v>1</v>
      </c>
      <c r="M72" s="21">
        <v>2899</v>
      </c>
      <c r="N72" s="3">
        <v>0.15</v>
      </c>
      <c r="O72" s="21">
        <v>50</v>
      </c>
      <c r="P72" t="s">
        <v>49</v>
      </c>
      <c r="Q72" t="s">
        <v>32</v>
      </c>
      <c r="R72">
        <v>5</v>
      </c>
      <c r="S72" t="s">
        <v>76</v>
      </c>
      <c r="T72" s="21">
        <v>2899</v>
      </c>
      <c r="U72" s="21">
        <v>434.85</v>
      </c>
      <c r="V72" s="21">
        <v>2514.15</v>
      </c>
    </row>
    <row r="73" spans="1:22" x14ac:dyDescent="0.25">
      <c r="A73" t="s">
        <v>186</v>
      </c>
      <c r="B73" s="16">
        <v>46143</v>
      </c>
      <c r="C73" t="s">
        <v>46</v>
      </c>
      <c r="D73" t="s">
        <v>47</v>
      </c>
      <c r="E73" t="s">
        <v>37</v>
      </c>
      <c r="F73">
        <v>25</v>
      </c>
      <c r="G73" t="s">
        <v>87</v>
      </c>
      <c r="H73" t="s">
        <v>87</v>
      </c>
      <c r="I73" t="s">
        <v>55</v>
      </c>
      <c r="J73" t="s">
        <v>74</v>
      </c>
      <c r="K73" t="s">
        <v>75</v>
      </c>
      <c r="L73">
        <v>1</v>
      </c>
      <c r="M73" s="21">
        <v>2899</v>
      </c>
      <c r="N73" s="3">
        <v>0.05</v>
      </c>
      <c r="O73" s="21">
        <v>100</v>
      </c>
      <c r="P73" t="s">
        <v>58</v>
      </c>
      <c r="Q73" t="s">
        <v>32</v>
      </c>
      <c r="R73">
        <v>4.5</v>
      </c>
      <c r="S73" t="s">
        <v>76</v>
      </c>
      <c r="T73" s="21">
        <v>2899</v>
      </c>
      <c r="U73" s="21">
        <v>144.94999999999999</v>
      </c>
      <c r="V73" s="21">
        <v>2854.05</v>
      </c>
    </row>
    <row r="74" spans="1:22" x14ac:dyDescent="0.25">
      <c r="A74" t="s">
        <v>187</v>
      </c>
      <c r="B74" s="16">
        <v>46108</v>
      </c>
      <c r="C74" t="s">
        <v>109</v>
      </c>
      <c r="D74" t="s">
        <v>110</v>
      </c>
      <c r="E74" t="s">
        <v>25</v>
      </c>
      <c r="F74">
        <v>30</v>
      </c>
      <c r="G74" t="s">
        <v>105</v>
      </c>
      <c r="H74" t="s">
        <v>27</v>
      </c>
      <c r="I74" t="s">
        <v>28</v>
      </c>
      <c r="J74" t="s">
        <v>111</v>
      </c>
      <c r="K74" t="s">
        <v>112</v>
      </c>
      <c r="L74">
        <v>3</v>
      </c>
      <c r="M74" s="21">
        <v>999</v>
      </c>
      <c r="N74" s="3">
        <v>0.15</v>
      </c>
      <c r="O74" s="21">
        <v>80</v>
      </c>
      <c r="P74" t="s">
        <v>31</v>
      </c>
      <c r="Q74" t="s">
        <v>32</v>
      </c>
      <c r="R74">
        <v>4.5</v>
      </c>
      <c r="S74" t="s">
        <v>44</v>
      </c>
      <c r="T74" s="21">
        <v>2997</v>
      </c>
      <c r="U74" s="21">
        <v>449.55</v>
      </c>
      <c r="V74" s="21">
        <v>2627.45</v>
      </c>
    </row>
    <row r="75" spans="1:22" x14ac:dyDescent="0.25">
      <c r="A75" t="s">
        <v>188</v>
      </c>
      <c r="B75" s="16">
        <v>46103</v>
      </c>
      <c r="C75" t="s">
        <v>153</v>
      </c>
      <c r="D75" t="s">
        <v>154</v>
      </c>
      <c r="E75" t="s">
        <v>37</v>
      </c>
      <c r="F75">
        <v>36</v>
      </c>
      <c r="G75" t="s">
        <v>80</v>
      </c>
      <c r="H75" t="s">
        <v>81</v>
      </c>
      <c r="I75" t="s">
        <v>40</v>
      </c>
      <c r="J75" t="s">
        <v>96</v>
      </c>
      <c r="K75" t="s">
        <v>69</v>
      </c>
      <c r="L75">
        <v>4</v>
      </c>
      <c r="M75" s="21">
        <v>2499</v>
      </c>
      <c r="N75" s="3">
        <v>0</v>
      </c>
      <c r="O75" s="21">
        <v>40</v>
      </c>
      <c r="P75" t="s">
        <v>31</v>
      </c>
      <c r="Q75" t="s">
        <v>32</v>
      </c>
      <c r="R75">
        <v>5</v>
      </c>
      <c r="S75" t="s">
        <v>44</v>
      </c>
      <c r="T75" s="21">
        <v>9996</v>
      </c>
      <c r="U75" s="21">
        <v>0</v>
      </c>
      <c r="V75" s="21">
        <v>10036</v>
      </c>
    </row>
    <row r="76" spans="1:22" x14ac:dyDescent="0.25">
      <c r="A76" t="s">
        <v>189</v>
      </c>
      <c r="B76" s="16">
        <v>46216</v>
      </c>
      <c r="C76" t="s">
        <v>118</v>
      </c>
      <c r="D76" t="s">
        <v>119</v>
      </c>
      <c r="E76" t="s">
        <v>25</v>
      </c>
      <c r="F76">
        <v>26</v>
      </c>
      <c r="G76" t="s">
        <v>26</v>
      </c>
      <c r="H76" t="s">
        <v>27</v>
      </c>
      <c r="I76" t="s">
        <v>28</v>
      </c>
      <c r="J76" t="s">
        <v>41</v>
      </c>
      <c r="K76" t="s">
        <v>42</v>
      </c>
      <c r="L76">
        <v>3</v>
      </c>
      <c r="M76" s="21">
        <v>1299</v>
      </c>
      <c r="N76" s="3">
        <v>0.2</v>
      </c>
      <c r="O76" s="21">
        <v>60</v>
      </c>
      <c r="P76" t="s">
        <v>58</v>
      </c>
      <c r="Q76" t="s">
        <v>32</v>
      </c>
      <c r="R76">
        <v>5</v>
      </c>
      <c r="S76" t="s">
        <v>33</v>
      </c>
      <c r="T76" s="21">
        <v>3897</v>
      </c>
      <c r="U76" s="21">
        <v>779.4</v>
      </c>
      <c r="V76" s="21">
        <v>3177.6</v>
      </c>
    </row>
    <row r="77" spans="1:22" x14ac:dyDescent="0.25">
      <c r="A77" t="s">
        <v>190</v>
      </c>
      <c r="B77" s="16">
        <v>46030</v>
      </c>
      <c r="C77" t="s">
        <v>128</v>
      </c>
      <c r="D77" t="s">
        <v>129</v>
      </c>
      <c r="E77" t="s">
        <v>25</v>
      </c>
      <c r="F77">
        <v>42</v>
      </c>
      <c r="G77" t="s">
        <v>94</v>
      </c>
      <c r="H77" t="s">
        <v>95</v>
      </c>
      <c r="I77" t="s">
        <v>67</v>
      </c>
      <c r="J77" t="s">
        <v>29</v>
      </c>
      <c r="K77" t="s">
        <v>30</v>
      </c>
      <c r="L77">
        <v>4</v>
      </c>
      <c r="M77" s="21">
        <v>899</v>
      </c>
      <c r="N77" s="3">
        <v>0</v>
      </c>
      <c r="O77" s="21">
        <v>50</v>
      </c>
      <c r="P77" t="s">
        <v>43</v>
      </c>
      <c r="Q77" t="s">
        <v>97</v>
      </c>
      <c r="R77">
        <v>4</v>
      </c>
      <c r="S77" t="s">
        <v>76</v>
      </c>
      <c r="T77" s="21">
        <v>3596</v>
      </c>
      <c r="U77" s="21">
        <v>0</v>
      </c>
      <c r="V77" s="21">
        <v>3646</v>
      </c>
    </row>
    <row r="78" spans="1:22" x14ac:dyDescent="0.25">
      <c r="A78" t="s">
        <v>191</v>
      </c>
      <c r="B78" s="16">
        <v>46238</v>
      </c>
      <c r="C78" t="s">
        <v>46</v>
      </c>
      <c r="D78" t="s">
        <v>47</v>
      </c>
      <c r="E78" t="s">
        <v>25</v>
      </c>
      <c r="F78">
        <v>40</v>
      </c>
      <c r="G78" t="s">
        <v>80</v>
      </c>
      <c r="H78" t="s">
        <v>81</v>
      </c>
      <c r="I78" t="s">
        <v>40</v>
      </c>
      <c r="J78" t="s">
        <v>138</v>
      </c>
      <c r="K78" t="s">
        <v>57</v>
      </c>
      <c r="L78">
        <v>1</v>
      </c>
      <c r="M78" s="21">
        <v>1599</v>
      </c>
      <c r="N78" s="3">
        <v>0.05</v>
      </c>
      <c r="O78" s="21">
        <v>50</v>
      </c>
      <c r="P78" t="s">
        <v>58</v>
      </c>
      <c r="Q78" t="s">
        <v>116</v>
      </c>
      <c r="R78">
        <v>4.5</v>
      </c>
      <c r="S78" t="s">
        <v>76</v>
      </c>
      <c r="T78" s="21">
        <v>1599</v>
      </c>
      <c r="U78" s="21">
        <v>79.95</v>
      </c>
      <c r="V78" s="21">
        <v>1569.05</v>
      </c>
    </row>
    <row r="79" spans="1:22" x14ac:dyDescent="0.25">
      <c r="A79" t="s">
        <v>192</v>
      </c>
      <c r="B79" s="16">
        <v>46236</v>
      </c>
      <c r="C79" t="s">
        <v>128</v>
      </c>
      <c r="D79" t="s">
        <v>129</v>
      </c>
      <c r="E79" t="s">
        <v>25</v>
      </c>
      <c r="F79">
        <v>34</v>
      </c>
      <c r="G79" t="s">
        <v>80</v>
      </c>
      <c r="H79" t="s">
        <v>81</v>
      </c>
      <c r="I79" t="s">
        <v>40</v>
      </c>
      <c r="J79" t="s">
        <v>29</v>
      </c>
      <c r="K79" t="s">
        <v>30</v>
      </c>
      <c r="L79">
        <v>3</v>
      </c>
      <c r="M79" s="21">
        <v>899</v>
      </c>
      <c r="N79" s="3">
        <v>0.15</v>
      </c>
      <c r="O79" s="21">
        <v>100</v>
      </c>
      <c r="P79" t="s">
        <v>58</v>
      </c>
      <c r="Q79" t="s">
        <v>32</v>
      </c>
      <c r="R79">
        <v>3.5</v>
      </c>
      <c r="S79" t="s">
        <v>44</v>
      </c>
      <c r="T79" s="21">
        <v>2697</v>
      </c>
      <c r="U79" s="21">
        <v>404.55</v>
      </c>
      <c r="V79" s="21">
        <v>2392.4499999999998</v>
      </c>
    </row>
    <row r="80" spans="1:22" x14ac:dyDescent="0.25">
      <c r="A80" t="s">
        <v>193</v>
      </c>
      <c r="B80" s="16">
        <v>46093</v>
      </c>
      <c r="C80" t="s">
        <v>100</v>
      </c>
      <c r="D80" t="s">
        <v>101</v>
      </c>
      <c r="E80" t="s">
        <v>37</v>
      </c>
      <c r="F80">
        <v>45</v>
      </c>
      <c r="G80" t="s">
        <v>53</v>
      </c>
      <c r="H80" t="s">
        <v>54</v>
      </c>
      <c r="I80" t="s">
        <v>55</v>
      </c>
      <c r="J80" t="s">
        <v>136</v>
      </c>
      <c r="K80" t="s">
        <v>112</v>
      </c>
      <c r="L80">
        <v>2</v>
      </c>
      <c r="M80" s="21">
        <v>399</v>
      </c>
      <c r="N80" s="3">
        <v>0</v>
      </c>
      <c r="O80" s="21">
        <v>100</v>
      </c>
      <c r="P80" t="s">
        <v>58</v>
      </c>
      <c r="Q80" t="s">
        <v>32</v>
      </c>
      <c r="R80">
        <v>4</v>
      </c>
      <c r="S80" t="s">
        <v>33</v>
      </c>
      <c r="T80" s="21">
        <v>798</v>
      </c>
      <c r="U80" s="21">
        <v>0</v>
      </c>
      <c r="V80" s="21">
        <v>898</v>
      </c>
    </row>
    <row r="81" spans="1:22" x14ac:dyDescent="0.25">
      <c r="A81" t="s">
        <v>194</v>
      </c>
      <c r="B81" s="16">
        <v>46137</v>
      </c>
      <c r="C81" t="s">
        <v>128</v>
      </c>
      <c r="D81" t="s">
        <v>129</v>
      </c>
      <c r="E81" t="s">
        <v>37</v>
      </c>
      <c r="F81">
        <v>37</v>
      </c>
      <c r="G81" t="s">
        <v>87</v>
      </c>
      <c r="H81" t="s">
        <v>87</v>
      </c>
      <c r="I81" t="s">
        <v>55</v>
      </c>
      <c r="J81" t="s">
        <v>74</v>
      </c>
      <c r="K81" t="s">
        <v>75</v>
      </c>
      <c r="L81">
        <v>4</v>
      </c>
      <c r="M81" s="21">
        <v>2899</v>
      </c>
      <c r="N81" s="3">
        <v>0.05</v>
      </c>
      <c r="O81" s="21">
        <v>100</v>
      </c>
      <c r="P81" t="s">
        <v>49</v>
      </c>
      <c r="Q81" t="s">
        <v>32</v>
      </c>
      <c r="R81">
        <v>4.5</v>
      </c>
      <c r="S81" t="s">
        <v>44</v>
      </c>
      <c r="T81" s="21">
        <v>11596</v>
      </c>
      <c r="U81" s="21">
        <v>579.79999999999995</v>
      </c>
      <c r="V81" s="21">
        <v>11116.2</v>
      </c>
    </row>
    <row r="82" spans="1:22" x14ac:dyDescent="0.25">
      <c r="A82" t="s">
        <v>195</v>
      </c>
      <c r="B82" s="16">
        <v>46121</v>
      </c>
      <c r="C82" t="s">
        <v>92</v>
      </c>
      <c r="D82" t="s">
        <v>93</v>
      </c>
      <c r="E82" t="s">
        <v>25</v>
      </c>
      <c r="F82">
        <v>30</v>
      </c>
      <c r="G82" t="s">
        <v>38</v>
      </c>
      <c r="H82" t="s">
        <v>39</v>
      </c>
      <c r="I82" t="s">
        <v>40</v>
      </c>
      <c r="J82" t="s">
        <v>29</v>
      </c>
      <c r="K82" t="s">
        <v>30</v>
      </c>
      <c r="L82">
        <v>2</v>
      </c>
      <c r="M82" s="21">
        <v>899</v>
      </c>
      <c r="N82" s="3">
        <v>0.2</v>
      </c>
      <c r="O82" s="21">
        <v>120</v>
      </c>
      <c r="P82" t="s">
        <v>58</v>
      </c>
      <c r="Q82" t="s">
        <v>32</v>
      </c>
      <c r="R82">
        <v>4.5</v>
      </c>
      <c r="S82" t="s">
        <v>76</v>
      </c>
      <c r="T82" s="21">
        <v>1798</v>
      </c>
      <c r="U82" s="21">
        <v>359.6</v>
      </c>
      <c r="V82" s="21">
        <v>1558.4</v>
      </c>
    </row>
    <row r="83" spans="1:22" x14ac:dyDescent="0.25">
      <c r="A83" t="s">
        <v>196</v>
      </c>
      <c r="B83" s="16">
        <v>46032</v>
      </c>
      <c r="C83" t="s">
        <v>153</v>
      </c>
      <c r="D83" t="s">
        <v>154</v>
      </c>
      <c r="E83" t="s">
        <v>37</v>
      </c>
      <c r="F83">
        <v>23</v>
      </c>
      <c r="G83" t="s">
        <v>71</v>
      </c>
      <c r="H83" t="s">
        <v>72</v>
      </c>
      <c r="I83" t="s">
        <v>67</v>
      </c>
      <c r="J83" t="s">
        <v>88</v>
      </c>
      <c r="K83" t="s">
        <v>75</v>
      </c>
      <c r="L83">
        <v>2</v>
      </c>
      <c r="M83" s="21">
        <v>599</v>
      </c>
      <c r="N83" s="3">
        <v>0.15</v>
      </c>
      <c r="O83" s="21">
        <v>80</v>
      </c>
      <c r="P83" t="s">
        <v>43</v>
      </c>
      <c r="Q83" t="s">
        <v>32</v>
      </c>
      <c r="R83">
        <v>3</v>
      </c>
      <c r="S83" t="s">
        <v>76</v>
      </c>
      <c r="T83" s="21">
        <v>1198</v>
      </c>
      <c r="U83" s="21">
        <v>179.7</v>
      </c>
      <c r="V83" s="21">
        <v>1098.3</v>
      </c>
    </row>
    <row r="84" spans="1:22" x14ac:dyDescent="0.25">
      <c r="A84" t="s">
        <v>197</v>
      </c>
      <c r="B84" s="16">
        <v>46245</v>
      </c>
      <c r="C84" t="s">
        <v>63</v>
      </c>
      <c r="D84" t="s">
        <v>64</v>
      </c>
      <c r="E84" t="s">
        <v>25</v>
      </c>
      <c r="F84">
        <v>35</v>
      </c>
      <c r="G84" t="s">
        <v>26</v>
      </c>
      <c r="H84" t="s">
        <v>27</v>
      </c>
      <c r="I84" t="s">
        <v>28</v>
      </c>
      <c r="J84" t="s">
        <v>29</v>
      </c>
      <c r="K84" t="s">
        <v>30</v>
      </c>
      <c r="L84">
        <v>2</v>
      </c>
      <c r="M84" s="21">
        <v>899</v>
      </c>
      <c r="N84" s="3">
        <v>0.15</v>
      </c>
      <c r="O84" s="21">
        <v>60</v>
      </c>
      <c r="P84" t="s">
        <v>82</v>
      </c>
      <c r="Q84" t="s">
        <v>32</v>
      </c>
      <c r="R84">
        <v>4</v>
      </c>
      <c r="S84" t="s">
        <v>76</v>
      </c>
      <c r="T84" s="21">
        <v>1798</v>
      </c>
      <c r="U84" s="21">
        <v>269.7</v>
      </c>
      <c r="V84" s="21">
        <v>1588.3</v>
      </c>
    </row>
    <row r="85" spans="1:22" x14ac:dyDescent="0.25">
      <c r="A85" t="s">
        <v>198</v>
      </c>
      <c r="B85" s="16">
        <v>46183</v>
      </c>
      <c r="C85" t="s">
        <v>153</v>
      </c>
      <c r="D85" t="s">
        <v>154</v>
      </c>
      <c r="E85" t="s">
        <v>25</v>
      </c>
      <c r="F85">
        <v>39</v>
      </c>
      <c r="G85" t="s">
        <v>105</v>
      </c>
      <c r="H85" t="s">
        <v>27</v>
      </c>
      <c r="I85" t="s">
        <v>28</v>
      </c>
      <c r="J85" t="s">
        <v>106</v>
      </c>
      <c r="K85" t="s">
        <v>57</v>
      </c>
      <c r="L85">
        <v>4</v>
      </c>
      <c r="M85" s="21">
        <v>699</v>
      </c>
      <c r="N85" s="3">
        <v>0.1</v>
      </c>
      <c r="O85" s="21">
        <v>40</v>
      </c>
      <c r="P85" t="s">
        <v>58</v>
      </c>
      <c r="Q85" t="s">
        <v>32</v>
      </c>
      <c r="R85">
        <v>3.5</v>
      </c>
      <c r="S85" t="s">
        <v>76</v>
      </c>
      <c r="T85" s="21">
        <v>2796</v>
      </c>
      <c r="U85" s="21">
        <v>279.60000000000002</v>
      </c>
      <c r="V85" s="21">
        <v>2556.4</v>
      </c>
    </row>
    <row r="86" spans="1:22" x14ac:dyDescent="0.25">
      <c r="A86" t="s">
        <v>199</v>
      </c>
      <c r="B86" s="16">
        <v>46048</v>
      </c>
      <c r="C86" t="s">
        <v>128</v>
      </c>
      <c r="D86" t="s">
        <v>129</v>
      </c>
      <c r="E86" t="s">
        <v>37</v>
      </c>
      <c r="F86">
        <v>25</v>
      </c>
      <c r="G86" t="s">
        <v>38</v>
      </c>
      <c r="H86" t="s">
        <v>39</v>
      </c>
      <c r="I86" t="s">
        <v>40</v>
      </c>
      <c r="J86" t="s">
        <v>29</v>
      </c>
      <c r="K86" t="s">
        <v>30</v>
      </c>
      <c r="L86">
        <v>1</v>
      </c>
      <c r="M86" s="21">
        <v>899</v>
      </c>
      <c r="N86" s="3">
        <v>0.15</v>
      </c>
      <c r="O86" s="21">
        <v>120</v>
      </c>
      <c r="P86" t="s">
        <v>31</v>
      </c>
      <c r="Q86" t="s">
        <v>32</v>
      </c>
      <c r="R86">
        <v>4</v>
      </c>
      <c r="S86" t="s">
        <v>33</v>
      </c>
      <c r="T86" s="21">
        <v>899</v>
      </c>
      <c r="U86" s="21">
        <v>134.85</v>
      </c>
      <c r="V86" s="21">
        <v>884.15</v>
      </c>
    </row>
    <row r="87" spans="1:22" x14ac:dyDescent="0.25">
      <c r="A87" t="s">
        <v>200</v>
      </c>
      <c r="B87" s="16">
        <v>46118</v>
      </c>
      <c r="C87" t="s">
        <v>114</v>
      </c>
      <c r="D87" t="s">
        <v>115</v>
      </c>
      <c r="E87" t="s">
        <v>37</v>
      </c>
      <c r="F87">
        <v>38</v>
      </c>
      <c r="G87" t="s">
        <v>65</v>
      </c>
      <c r="H87" t="s">
        <v>66</v>
      </c>
      <c r="I87" t="s">
        <v>67</v>
      </c>
      <c r="J87" t="s">
        <v>96</v>
      </c>
      <c r="K87" t="s">
        <v>69</v>
      </c>
      <c r="L87">
        <v>3</v>
      </c>
      <c r="M87" s="21">
        <v>2499</v>
      </c>
      <c r="N87" s="3">
        <v>0.1</v>
      </c>
      <c r="O87" s="21">
        <v>120</v>
      </c>
      <c r="P87" t="s">
        <v>82</v>
      </c>
      <c r="Q87" t="s">
        <v>32</v>
      </c>
      <c r="R87">
        <v>3.5</v>
      </c>
      <c r="S87" t="s">
        <v>33</v>
      </c>
      <c r="T87" s="21">
        <v>7497</v>
      </c>
      <c r="U87" s="21">
        <v>749.7</v>
      </c>
      <c r="V87" s="21">
        <v>6867.3</v>
      </c>
    </row>
    <row r="88" spans="1:22" x14ac:dyDescent="0.25">
      <c r="A88" t="s">
        <v>201</v>
      </c>
      <c r="B88" s="16">
        <v>46197</v>
      </c>
      <c r="C88" t="s">
        <v>84</v>
      </c>
      <c r="D88" t="s">
        <v>85</v>
      </c>
      <c r="E88" t="s">
        <v>25</v>
      </c>
      <c r="F88">
        <v>27</v>
      </c>
      <c r="G88" t="s">
        <v>105</v>
      </c>
      <c r="H88" t="s">
        <v>27</v>
      </c>
      <c r="I88" t="s">
        <v>28</v>
      </c>
      <c r="J88" t="s">
        <v>74</v>
      </c>
      <c r="K88" t="s">
        <v>75</v>
      </c>
      <c r="L88">
        <v>4</v>
      </c>
      <c r="M88" s="21">
        <v>2899</v>
      </c>
      <c r="N88" s="3">
        <v>0.2</v>
      </c>
      <c r="O88" s="21">
        <v>80</v>
      </c>
      <c r="P88" t="s">
        <v>43</v>
      </c>
      <c r="Q88" t="s">
        <v>32</v>
      </c>
      <c r="R88">
        <v>4</v>
      </c>
      <c r="S88" t="s">
        <v>44</v>
      </c>
      <c r="T88" s="21">
        <v>11596</v>
      </c>
      <c r="U88" s="21">
        <v>2319.1999999999998</v>
      </c>
      <c r="V88" s="21">
        <v>9356.7999999999993</v>
      </c>
    </row>
    <row r="89" spans="1:22" x14ac:dyDescent="0.25">
      <c r="A89" t="s">
        <v>202</v>
      </c>
      <c r="B89" s="16">
        <v>46063</v>
      </c>
      <c r="C89" t="s">
        <v>122</v>
      </c>
      <c r="D89" t="s">
        <v>123</v>
      </c>
      <c r="E89" t="s">
        <v>37</v>
      </c>
      <c r="F89">
        <v>40</v>
      </c>
      <c r="G89" t="s">
        <v>26</v>
      </c>
      <c r="H89" t="s">
        <v>27</v>
      </c>
      <c r="I89" t="s">
        <v>28</v>
      </c>
      <c r="J89" t="s">
        <v>111</v>
      </c>
      <c r="K89" t="s">
        <v>112</v>
      </c>
      <c r="L89">
        <v>3</v>
      </c>
      <c r="M89" s="21">
        <v>999</v>
      </c>
      <c r="N89" s="3">
        <v>0.2</v>
      </c>
      <c r="O89" s="21">
        <v>80</v>
      </c>
      <c r="P89" t="s">
        <v>49</v>
      </c>
      <c r="Q89" t="s">
        <v>32</v>
      </c>
      <c r="R89">
        <v>4</v>
      </c>
      <c r="S89" t="s">
        <v>44</v>
      </c>
      <c r="T89" s="21">
        <v>2997</v>
      </c>
      <c r="U89" s="21">
        <v>599.4</v>
      </c>
      <c r="V89" s="21">
        <v>2477.6</v>
      </c>
    </row>
    <row r="90" spans="1:22" x14ac:dyDescent="0.25">
      <c r="A90" t="s">
        <v>203</v>
      </c>
      <c r="B90" s="16">
        <v>46083</v>
      </c>
      <c r="C90" t="s">
        <v>128</v>
      </c>
      <c r="D90" t="s">
        <v>129</v>
      </c>
      <c r="E90" t="s">
        <v>37</v>
      </c>
      <c r="F90">
        <v>42</v>
      </c>
      <c r="G90" t="s">
        <v>38</v>
      </c>
      <c r="H90" t="s">
        <v>39</v>
      </c>
      <c r="I90" t="s">
        <v>40</v>
      </c>
      <c r="J90" t="s">
        <v>138</v>
      </c>
      <c r="K90" t="s">
        <v>57</v>
      </c>
      <c r="L90">
        <v>4</v>
      </c>
      <c r="M90" s="21">
        <v>1599</v>
      </c>
      <c r="N90" s="3">
        <v>0</v>
      </c>
      <c r="O90" s="21">
        <v>60</v>
      </c>
      <c r="P90" t="s">
        <v>49</v>
      </c>
      <c r="Q90" t="s">
        <v>32</v>
      </c>
      <c r="R90">
        <v>3</v>
      </c>
      <c r="S90" t="s">
        <v>76</v>
      </c>
      <c r="T90" s="21">
        <v>6396</v>
      </c>
      <c r="U90" s="21">
        <v>0</v>
      </c>
      <c r="V90" s="21">
        <v>6456</v>
      </c>
    </row>
    <row r="91" spans="1:22" x14ac:dyDescent="0.25">
      <c r="A91" t="s">
        <v>204</v>
      </c>
      <c r="B91" s="16">
        <v>46213</v>
      </c>
      <c r="C91" t="s">
        <v>153</v>
      </c>
      <c r="D91" t="s">
        <v>154</v>
      </c>
      <c r="E91" t="s">
        <v>25</v>
      </c>
      <c r="F91">
        <v>39</v>
      </c>
      <c r="G91" t="s">
        <v>87</v>
      </c>
      <c r="H91" t="s">
        <v>87</v>
      </c>
      <c r="I91" t="s">
        <v>55</v>
      </c>
      <c r="J91" t="s">
        <v>96</v>
      </c>
      <c r="K91" t="s">
        <v>69</v>
      </c>
      <c r="L91">
        <v>1</v>
      </c>
      <c r="M91" s="21">
        <v>2499</v>
      </c>
      <c r="N91" s="3">
        <v>0.2</v>
      </c>
      <c r="O91" s="21">
        <v>60</v>
      </c>
      <c r="P91" t="s">
        <v>49</v>
      </c>
      <c r="Q91" t="s">
        <v>32</v>
      </c>
      <c r="R91">
        <v>3.5</v>
      </c>
      <c r="S91" t="s">
        <v>76</v>
      </c>
      <c r="T91" s="21">
        <v>2499</v>
      </c>
      <c r="U91" s="21">
        <v>499.8</v>
      </c>
      <c r="V91" s="21">
        <v>2059.1999999999998</v>
      </c>
    </row>
    <row r="92" spans="1:22" x14ac:dyDescent="0.25">
      <c r="A92" t="s">
        <v>205</v>
      </c>
      <c r="B92" s="16">
        <v>46254</v>
      </c>
      <c r="C92" t="s">
        <v>100</v>
      </c>
      <c r="D92" t="s">
        <v>101</v>
      </c>
      <c r="E92" t="s">
        <v>37</v>
      </c>
      <c r="F92">
        <v>45</v>
      </c>
      <c r="G92" t="s">
        <v>53</v>
      </c>
      <c r="H92" t="s">
        <v>54</v>
      </c>
      <c r="I92" t="s">
        <v>55</v>
      </c>
      <c r="J92" t="s">
        <v>56</v>
      </c>
      <c r="K92" t="s">
        <v>57</v>
      </c>
      <c r="L92">
        <v>2</v>
      </c>
      <c r="M92" s="21">
        <v>2199</v>
      </c>
      <c r="N92" s="3">
        <v>0</v>
      </c>
      <c r="O92" s="21">
        <v>80</v>
      </c>
      <c r="P92" t="s">
        <v>31</v>
      </c>
      <c r="Q92" t="s">
        <v>32</v>
      </c>
      <c r="R92">
        <v>3</v>
      </c>
      <c r="S92" t="s">
        <v>76</v>
      </c>
      <c r="T92" s="21">
        <v>4398</v>
      </c>
      <c r="U92" s="21">
        <v>0</v>
      </c>
      <c r="V92" s="21">
        <v>4478</v>
      </c>
    </row>
    <row r="93" spans="1:22" x14ac:dyDescent="0.25">
      <c r="A93" t="s">
        <v>206</v>
      </c>
      <c r="B93" s="16">
        <v>46214</v>
      </c>
      <c r="C93" t="s">
        <v>51</v>
      </c>
      <c r="D93" t="s">
        <v>52</v>
      </c>
      <c r="E93" t="s">
        <v>25</v>
      </c>
      <c r="F93">
        <v>45</v>
      </c>
      <c r="G93" t="s">
        <v>48</v>
      </c>
      <c r="H93" t="s">
        <v>39</v>
      </c>
      <c r="I93" t="s">
        <v>40</v>
      </c>
      <c r="J93" t="s">
        <v>90</v>
      </c>
      <c r="K93" t="s">
        <v>69</v>
      </c>
      <c r="L93">
        <v>3</v>
      </c>
      <c r="M93" s="21">
        <v>1799</v>
      </c>
      <c r="N93" s="3">
        <v>0.1</v>
      </c>
      <c r="O93" s="21">
        <v>100</v>
      </c>
      <c r="P93" t="s">
        <v>82</v>
      </c>
      <c r="Q93" t="s">
        <v>32</v>
      </c>
      <c r="R93">
        <v>4</v>
      </c>
      <c r="S93" t="s">
        <v>76</v>
      </c>
      <c r="T93" s="21">
        <v>5397</v>
      </c>
      <c r="U93" s="21">
        <v>539.70000000000005</v>
      </c>
      <c r="V93" s="21">
        <v>4957.3</v>
      </c>
    </row>
    <row r="94" spans="1:22" x14ac:dyDescent="0.25">
      <c r="A94" t="s">
        <v>207</v>
      </c>
      <c r="B94" s="16">
        <v>46229</v>
      </c>
      <c r="C94" t="s">
        <v>142</v>
      </c>
      <c r="D94" t="s">
        <v>143</v>
      </c>
      <c r="E94" t="s">
        <v>25</v>
      </c>
      <c r="F94">
        <v>34</v>
      </c>
      <c r="G94" t="s">
        <v>87</v>
      </c>
      <c r="H94" t="s">
        <v>87</v>
      </c>
      <c r="I94" t="s">
        <v>55</v>
      </c>
      <c r="J94" t="s">
        <v>68</v>
      </c>
      <c r="K94" t="s">
        <v>69</v>
      </c>
      <c r="L94">
        <v>3</v>
      </c>
      <c r="M94" s="21">
        <v>3299</v>
      </c>
      <c r="N94" s="3">
        <v>0.15</v>
      </c>
      <c r="O94" s="21">
        <v>40</v>
      </c>
      <c r="P94" t="s">
        <v>49</v>
      </c>
      <c r="Q94" t="s">
        <v>32</v>
      </c>
      <c r="R94">
        <v>3.5</v>
      </c>
      <c r="S94" t="s">
        <v>33</v>
      </c>
      <c r="T94" s="21">
        <v>9897</v>
      </c>
      <c r="U94" s="21">
        <v>1484.55</v>
      </c>
      <c r="V94" s="21">
        <v>8452.4500000000007</v>
      </c>
    </row>
    <row r="95" spans="1:22" x14ac:dyDescent="0.25">
      <c r="A95" t="s">
        <v>208</v>
      </c>
      <c r="B95" s="16">
        <v>46026</v>
      </c>
      <c r="C95" t="s">
        <v>153</v>
      </c>
      <c r="D95" t="s">
        <v>154</v>
      </c>
      <c r="E95" t="s">
        <v>37</v>
      </c>
      <c r="F95">
        <v>31</v>
      </c>
      <c r="G95" t="s">
        <v>80</v>
      </c>
      <c r="H95" t="s">
        <v>81</v>
      </c>
      <c r="I95" t="s">
        <v>40</v>
      </c>
      <c r="J95" t="s">
        <v>106</v>
      </c>
      <c r="K95" t="s">
        <v>57</v>
      </c>
      <c r="L95">
        <v>1</v>
      </c>
      <c r="M95" s="21">
        <v>699</v>
      </c>
      <c r="N95" s="3">
        <v>0.15</v>
      </c>
      <c r="O95" s="21">
        <v>120</v>
      </c>
      <c r="P95" t="s">
        <v>31</v>
      </c>
      <c r="Q95" t="s">
        <v>32</v>
      </c>
      <c r="R95">
        <v>4</v>
      </c>
      <c r="S95" t="s">
        <v>76</v>
      </c>
      <c r="T95" s="21">
        <v>699</v>
      </c>
      <c r="U95" s="21">
        <v>104.85</v>
      </c>
      <c r="V95" s="21">
        <v>714.15</v>
      </c>
    </row>
    <row r="96" spans="1:22" x14ac:dyDescent="0.25">
      <c r="A96" t="s">
        <v>209</v>
      </c>
      <c r="B96" s="16">
        <v>46029</v>
      </c>
      <c r="C96" t="s">
        <v>153</v>
      </c>
      <c r="D96" t="s">
        <v>154</v>
      </c>
      <c r="E96" t="s">
        <v>37</v>
      </c>
      <c r="F96">
        <v>39</v>
      </c>
      <c r="G96" t="s">
        <v>65</v>
      </c>
      <c r="H96" t="s">
        <v>66</v>
      </c>
      <c r="I96" t="s">
        <v>67</v>
      </c>
      <c r="J96" t="s">
        <v>90</v>
      </c>
      <c r="K96" t="s">
        <v>69</v>
      </c>
      <c r="L96">
        <v>2</v>
      </c>
      <c r="M96" s="21">
        <v>1799</v>
      </c>
      <c r="N96" s="3">
        <v>0.15</v>
      </c>
      <c r="O96" s="21">
        <v>50</v>
      </c>
      <c r="P96" t="s">
        <v>43</v>
      </c>
      <c r="Q96" t="s">
        <v>32</v>
      </c>
      <c r="R96">
        <v>3</v>
      </c>
      <c r="S96" t="s">
        <v>76</v>
      </c>
      <c r="T96" s="21">
        <v>3598</v>
      </c>
      <c r="U96" s="21">
        <v>539.70000000000005</v>
      </c>
      <c r="V96" s="21">
        <v>3108.3</v>
      </c>
    </row>
    <row r="97" spans="1:22" x14ac:dyDescent="0.25">
      <c r="A97" t="s">
        <v>210</v>
      </c>
      <c r="B97" s="16">
        <v>46058</v>
      </c>
      <c r="C97" t="s">
        <v>63</v>
      </c>
      <c r="D97" t="s">
        <v>64</v>
      </c>
      <c r="E97" t="s">
        <v>37</v>
      </c>
      <c r="F97">
        <v>35</v>
      </c>
      <c r="G97" t="s">
        <v>87</v>
      </c>
      <c r="H97" t="s">
        <v>87</v>
      </c>
      <c r="I97" t="s">
        <v>55</v>
      </c>
      <c r="J97" t="s">
        <v>88</v>
      </c>
      <c r="K97" t="s">
        <v>75</v>
      </c>
      <c r="L97">
        <v>4</v>
      </c>
      <c r="M97" s="21">
        <v>599</v>
      </c>
      <c r="N97" s="3">
        <v>0</v>
      </c>
      <c r="O97" s="21">
        <v>40</v>
      </c>
      <c r="P97" t="s">
        <v>31</v>
      </c>
      <c r="Q97" t="s">
        <v>32</v>
      </c>
      <c r="R97">
        <v>3</v>
      </c>
      <c r="S97" t="s">
        <v>33</v>
      </c>
      <c r="T97" s="21">
        <v>2396</v>
      </c>
      <c r="U97" s="21">
        <v>0</v>
      </c>
      <c r="V97" s="21">
        <v>2436</v>
      </c>
    </row>
    <row r="98" spans="1:22" x14ac:dyDescent="0.25">
      <c r="A98" t="s">
        <v>211</v>
      </c>
      <c r="B98" s="16">
        <v>46194</v>
      </c>
      <c r="C98" t="s">
        <v>78</v>
      </c>
      <c r="D98" t="s">
        <v>79</v>
      </c>
      <c r="E98" t="s">
        <v>37</v>
      </c>
      <c r="F98">
        <v>38</v>
      </c>
      <c r="G98" t="s">
        <v>48</v>
      </c>
      <c r="H98" t="s">
        <v>39</v>
      </c>
      <c r="I98" t="s">
        <v>40</v>
      </c>
      <c r="J98" t="s">
        <v>138</v>
      </c>
      <c r="K98" t="s">
        <v>57</v>
      </c>
      <c r="L98">
        <v>4</v>
      </c>
      <c r="M98" s="21">
        <v>1599</v>
      </c>
      <c r="N98" s="3">
        <v>0.1</v>
      </c>
      <c r="O98" s="21">
        <v>120</v>
      </c>
      <c r="P98" t="s">
        <v>43</v>
      </c>
      <c r="Q98" t="s">
        <v>97</v>
      </c>
      <c r="R98">
        <v>3.5</v>
      </c>
      <c r="S98" t="s">
        <v>44</v>
      </c>
      <c r="T98" s="21">
        <v>6396</v>
      </c>
      <c r="U98" s="21">
        <v>639.6</v>
      </c>
      <c r="V98" s="21">
        <v>5876.4</v>
      </c>
    </row>
    <row r="99" spans="1:22" x14ac:dyDescent="0.25">
      <c r="A99" t="s">
        <v>212</v>
      </c>
      <c r="B99" s="16">
        <v>46031</v>
      </c>
      <c r="C99" t="s">
        <v>23</v>
      </c>
      <c r="D99" t="s">
        <v>24</v>
      </c>
      <c r="E99" t="s">
        <v>37</v>
      </c>
      <c r="F99">
        <v>34</v>
      </c>
      <c r="G99" t="s">
        <v>94</v>
      </c>
      <c r="H99" t="s">
        <v>95</v>
      </c>
      <c r="I99" t="s">
        <v>67</v>
      </c>
      <c r="J99" t="s">
        <v>74</v>
      </c>
      <c r="K99" t="s">
        <v>75</v>
      </c>
      <c r="L99">
        <v>4</v>
      </c>
      <c r="M99" s="21">
        <v>2899</v>
      </c>
      <c r="N99" s="3">
        <v>0.1</v>
      </c>
      <c r="O99" s="21">
        <v>50</v>
      </c>
      <c r="P99" t="s">
        <v>82</v>
      </c>
      <c r="Q99" t="s">
        <v>32</v>
      </c>
      <c r="R99">
        <v>4</v>
      </c>
      <c r="S99" t="s">
        <v>33</v>
      </c>
      <c r="T99" s="21">
        <v>11596</v>
      </c>
      <c r="U99" s="21">
        <v>1159.5999999999999</v>
      </c>
      <c r="V99" s="21">
        <v>10486.4</v>
      </c>
    </row>
    <row r="100" spans="1:22" x14ac:dyDescent="0.25">
      <c r="A100" t="s">
        <v>213</v>
      </c>
      <c r="B100" s="16">
        <v>46124</v>
      </c>
      <c r="C100" t="s">
        <v>51</v>
      </c>
      <c r="D100" t="s">
        <v>52</v>
      </c>
      <c r="E100" t="s">
        <v>37</v>
      </c>
      <c r="F100">
        <v>22</v>
      </c>
      <c r="G100" t="s">
        <v>80</v>
      </c>
      <c r="H100" t="s">
        <v>81</v>
      </c>
      <c r="I100" t="s">
        <v>40</v>
      </c>
      <c r="J100" t="s">
        <v>88</v>
      </c>
      <c r="K100" t="s">
        <v>75</v>
      </c>
      <c r="L100">
        <v>3</v>
      </c>
      <c r="M100" s="21">
        <v>599</v>
      </c>
      <c r="N100" s="3">
        <v>0</v>
      </c>
      <c r="O100" s="21">
        <v>120</v>
      </c>
      <c r="P100" t="s">
        <v>31</v>
      </c>
      <c r="Q100" t="s">
        <v>32</v>
      </c>
      <c r="R100">
        <v>3.5</v>
      </c>
      <c r="S100" t="s">
        <v>76</v>
      </c>
      <c r="T100" s="21">
        <v>1797</v>
      </c>
      <c r="U100" s="21">
        <v>0</v>
      </c>
      <c r="V100" s="21">
        <v>1917</v>
      </c>
    </row>
    <row r="101" spans="1:22" x14ac:dyDescent="0.25">
      <c r="A101" t="s">
        <v>214</v>
      </c>
      <c r="B101" s="16">
        <v>46055</v>
      </c>
      <c r="C101" t="s">
        <v>145</v>
      </c>
      <c r="D101" t="s">
        <v>146</v>
      </c>
      <c r="E101" t="s">
        <v>25</v>
      </c>
      <c r="F101">
        <v>44</v>
      </c>
      <c r="G101" t="s">
        <v>26</v>
      </c>
      <c r="H101" t="s">
        <v>27</v>
      </c>
      <c r="I101" t="s">
        <v>28</v>
      </c>
      <c r="J101" t="s">
        <v>96</v>
      </c>
      <c r="K101" t="s">
        <v>69</v>
      </c>
      <c r="L101">
        <v>3</v>
      </c>
      <c r="M101" s="21">
        <v>2499</v>
      </c>
      <c r="N101" s="3">
        <v>0.05</v>
      </c>
      <c r="O101" s="21">
        <v>100</v>
      </c>
      <c r="P101" t="s">
        <v>82</v>
      </c>
      <c r="Q101" t="s">
        <v>139</v>
      </c>
      <c r="R101">
        <v>3.5</v>
      </c>
      <c r="S101" t="s">
        <v>76</v>
      </c>
      <c r="T101" s="21">
        <v>7497</v>
      </c>
      <c r="U101" s="21">
        <v>374.85</v>
      </c>
      <c r="V101" s="21">
        <v>7222.15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EDA1-3442-4EAF-A256-CEAD178A005D}">
  <sheetPr codeName="Sheet5"/>
  <dimension ref="A2:T82"/>
  <sheetViews>
    <sheetView zoomScale="52" zoomScaleNormal="49" workbookViewId="0">
      <selection activeCell="B8" sqref="B8"/>
    </sheetView>
  </sheetViews>
  <sheetFormatPr defaultRowHeight="13.8" x14ac:dyDescent="0.25"/>
  <cols>
    <col min="1" max="3" width="16.59765625" bestFit="1" customWidth="1"/>
    <col min="4" max="4" width="23.796875" bestFit="1" customWidth="1"/>
    <col min="5" max="5" width="19.3984375" bestFit="1" customWidth="1"/>
    <col min="19" max="19" width="14.8984375" bestFit="1" customWidth="1"/>
    <col min="20" max="20" width="19.3984375" bestFit="1" customWidth="1"/>
  </cols>
  <sheetData>
    <row r="2" spans="1:20" x14ac:dyDescent="0.25">
      <c r="D2" s="13" t="s">
        <v>239</v>
      </c>
      <c r="E2" t="s">
        <v>242</v>
      </c>
    </row>
    <row r="3" spans="1:20" x14ac:dyDescent="0.25">
      <c r="D3" s="14" t="s">
        <v>245</v>
      </c>
      <c r="E3" s="20">
        <v>393143.60000000003</v>
      </c>
    </row>
    <row r="4" spans="1:20" x14ac:dyDescent="0.25">
      <c r="D4" s="19" t="s">
        <v>246</v>
      </c>
      <c r="E4" s="20">
        <v>39980.300000000003</v>
      </c>
    </row>
    <row r="5" spans="1:20" x14ac:dyDescent="0.25">
      <c r="D5" s="19" t="s">
        <v>251</v>
      </c>
      <c r="E5" s="20">
        <v>51593.549999999996</v>
      </c>
    </row>
    <row r="6" spans="1:20" x14ac:dyDescent="0.25">
      <c r="D6" s="19" t="s">
        <v>252</v>
      </c>
      <c r="E6" s="20">
        <v>49344.45</v>
      </c>
    </row>
    <row r="7" spans="1:20" x14ac:dyDescent="0.25">
      <c r="D7" s="19" t="s">
        <v>248</v>
      </c>
      <c r="E7" s="20">
        <v>48113.500000000007</v>
      </c>
    </row>
    <row r="8" spans="1:20" x14ac:dyDescent="0.25">
      <c r="D8" s="19" t="s">
        <v>249</v>
      </c>
      <c r="E8" s="20">
        <v>54953.450000000004</v>
      </c>
    </row>
    <row r="9" spans="1:20" x14ac:dyDescent="0.25">
      <c r="D9" s="19" t="s">
        <v>250</v>
      </c>
      <c r="E9" s="20">
        <v>54410.200000000004</v>
      </c>
    </row>
    <row r="10" spans="1:20" x14ac:dyDescent="0.25">
      <c r="A10" t="s">
        <v>242</v>
      </c>
      <c r="D10" s="19" t="s">
        <v>253</v>
      </c>
      <c r="E10" s="20">
        <v>68669.850000000006</v>
      </c>
    </row>
    <row r="11" spans="1:20" x14ac:dyDescent="0.25">
      <c r="A11" s="17">
        <v>393143.60000000015</v>
      </c>
      <c r="D11" s="19" t="s">
        <v>247</v>
      </c>
      <c r="E11" s="20">
        <v>26078.3</v>
      </c>
    </row>
    <row r="12" spans="1:20" x14ac:dyDescent="0.25">
      <c r="D12" s="14" t="s">
        <v>240</v>
      </c>
      <c r="E12" s="20">
        <v>393143.60000000003</v>
      </c>
      <c r="S12" s="13" t="s">
        <v>239</v>
      </c>
      <c r="T12" t="s">
        <v>242</v>
      </c>
    </row>
    <row r="13" spans="1:20" x14ac:dyDescent="0.25">
      <c r="S13" s="14" t="s">
        <v>58</v>
      </c>
      <c r="T13" s="20">
        <v>104677.3</v>
      </c>
    </row>
    <row r="14" spans="1:20" x14ac:dyDescent="0.25">
      <c r="A14" s="15" t="s">
        <v>241</v>
      </c>
      <c r="S14" s="14" t="s">
        <v>82</v>
      </c>
      <c r="T14" s="20">
        <v>68679.850000000006</v>
      </c>
    </row>
    <row r="15" spans="1:20" x14ac:dyDescent="0.25">
      <c r="A15" s="17">
        <v>43649.399999999994</v>
      </c>
      <c r="S15" s="14" t="s">
        <v>49</v>
      </c>
      <c r="T15" s="20">
        <v>91009.900000000009</v>
      </c>
    </row>
    <row r="16" spans="1:20" x14ac:dyDescent="0.25">
      <c r="S16" s="14" t="s">
        <v>43</v>
      </c>
      <c r="T16" s="20">
        <v>56547.4</v>
      </c>
    </row>
    <row r="17" spans="1:20" x14ac:dyDescent="0.25">
      <c r="S17" s="14" t="s">
        <v>31</v>
      </c>
      <c r="T17" s="20">
        <v>72229.149999999994</v>
      </c>
    </row>
    <row r="18" spans="1:20" x14ac:dyDescent="0.25">
      <c r="A18" t="s">
        <v>243</v>
      </c>
      <c r="B18" t="s">
        <v>242</v>
      </c>
      <c r="S18" s="14" t="s">
        <v>240</v>
      </c>
      <c r="T18" s="20">
        <v>393143.60000000009</v>
      </c>
    </row>
    <row r="19" spans="1:20" x14ac:dyDescent="0.25">
      <c r="A19" s="18">
        <v>257</v>
      </c>
      <c r="B19" s="20">
        <v>393143.60000000015</v>
      </c>
    </row>
    <row r="20" spans="1:20" x14ac:dyDescent="0.25">
      <c r="D20" s="13" t="s">
        <v>239</v>
      </c>
      <c r="E20" t="s">
        <v>242</v>
      </c>
    </row>
    <row r="21" spans="1:20" x14ac:dyDescent="0.25">
      <c r="D21" s="14" t="s">
        <v>42</v>
      </c>
      <c r="E21" s="20">
        <v>18810.849999999999</v>
      </c>
    </row>
    <row r="22" spans="1:20" x14ac:dyDescent="0.25">
      <c r="A22" t="s">
        <v>276</v>
      </c>
      <c r="D22" s="14" t="s">
        <v>112</v>
      </c>
      <c r="E22" s="20">
        <v>16835.449999999997</v>
      </c>
    </row>
    <row r="23" spans="1:20" x14ac:dyDescent="0.25">
      <c r="A23" s="20">
        <v>100</v>
      </c>
      <c r="D23" s="14" t="s">
        <v>69</v>
      </c>
      <c r="E23" s="20">
        <v>140692.1</v>
      </c>
    </row>
    <row r="24" spans="1:20" x14ac:dyDescent="0.25">
      <c r="D24" s="14" t="s">
        <v>57</v>
      </c>
      <c r="E24" s="20">
        <v>109891.34999999999</v>
      </c>
    </row>
    <row r="25" spans="1:20" x14ac:dyDescent="0.25">
      <c r="D25" s="14" t="s">
        <v>75</v>
      </c>
      <c r="E25" s="20">
        <v>76566.25</v>
      </c>
    </row>
    <row r="26" spans="1:20" x14ac:dyDescent="0.25">
      <c r="A26" s="6"/>
      <c r="D26" s="14" t="s">
        <v>30</v>
      </c>
      <c r="E26" s="20">
        <v>30347.600000000006</v>
      </c>
    </row>
    <row r="27" spans="1:20" x14ac:dyDescent="0.25">
      <c r="D27" s="14" t="s">
        <v>240</v>
      </c>
      <c r="E27" s="20">
        <v>393143.6</v>
      </c>
    </row>
    <row r="29" spans="1:20" x14ac:dyDescent="0.25">
      <c r="A29" t="s">
        <v>244</v>
      </c>
    </row>
    <row r="30" spans="1:20" x14ac:dyDescent="0.25">
      <c r="A30" cm="1">
        <f t="array" ref="A30">SUMPRODUCT((SalesData[Customer ID]&lt;&gt;"")/COUNTIF(SalesData[Customer ID],SalesData[Customer ID]&amp;""))</f>
        <v>19.999999999999993</v>
      </c>
    </row>
    <row r="32" spans="1:20" x14ac:dyDescent="0.25">
      <c r="A32" t="s">
        <v>242</v>
      </c>
      <c r="B32" t="s">
        <v>276</v>
      </c>
    </row>
    <row r="33" spans="1:5" x14ac:dyDescent="0.25">
      <c r="A33" s="20">
        <v>393143.60000000015</v>
      </c>
      <c r="B33" s="20">
        <v>100</v>
      </c>
    </row>
    <row r="35" spans="1:5" x14ac:dyDescent="0.25">
      <c r="D35" s="13" t="s">
        <v>239</v>
      </c>
      <c r="E35" t="s">
        <v>242</v>
      </c>
    </row>
    <row r="36" spans="1:5" x14ac:dyDescent="0.25">
      <c r="D36" s="14" t="s">
        <v>28</v>
      </c>
      <c r="E36" s="20">
        <v>79007.000000000015</v>
      </c>
    </row>
    <row r="37" spans="1:5" x14ac:dyDescent="0.25">
      <c r="A37">
        <f>SUM(SalesData[Quantity])</f>
        <v>257</v>
      </c>
      <c r="D37" s="14" t="s">
        <v>55</v>
      </c>
      <c r="E37" s="20">
        <v>62987.649999999994</v>
      </c>
    </row>
    <row r="38" spans="1:5" x14ac:dyDescent="0.25">
      <c r="D38" s="14" t="s">
        <v>67</v>
      </c>
      <c r="E38" s="20">
        <v>112324.5</v>
      </c>
    </row>
    <row r="39" spans="1:5" x14ac:dyDescent="0.25">
      <c r="D39" s="14" t="s">
        <v>40</v>
      </c>
      <c r="E39" s="20">
        <v>138824.45000000001</v>
      </c>
    </row>
    <row r="40" spans="1:5" x14ac:dyDescent="0.25">
      <c r="D40" s="14" t="s">
        <v>240</v>
      </c>
      <c r="E40" s="20">
        <v>393143.60000000003</v>
      </c>
    </row>
    <row r="43" spans="1:5" x14ac:dyDescent="0.25">
      <c r="A43" t="s">
        <v>242</v>
      </c>
      <c r="B43" t="s">
        <v>277</v>
      </c>
      <c r="C43" t="s">
        <v>276</v>
      </c>
      <c r="D43" t="s">
        <v>278</v>
      </c>
    </row>
    <row r="44" spans="1:5" x14ac:dyDescent="0.25">
      <c r="A44" s="31">
        <v>393143.60000000015</v>
      </c>
      <c r="B44" s="20">
        <v>100</v>
      </c>
      <c r="C44" s="20">
        <v>100</v>
      </c>
      <c r="D44" s="31">
        <v>3931.4360000000015</v>
      </c>
    </row>
    <row r="54" spans="4:5" x14ac:dyDescent="0.25">
      <c r="D54" s="13" t="s">
        <v>239</v>
      </c>
      <c r="E54" t="s">
        <v>242</v>
      </c>
    </row>
    <row r="55" spans="4:5" x14ac:dyDescent="0.25">
      <c r="D55" s="14" t="s">
        <v>68</v>
      </c>
      <c r="E55" s="20">
        <v>72413.25</v>
      </c>
    </row>
    <row r="56" spans="4:5" x14ac:dyDescent="0.25">
      <c r="D56" s="14" t="s">
        <v>56</v>
      </c>
      <c r="E56" s="20">
        <v>69558.75</v>
      </c>
    </row>
    <row r="57" spans="4:5" x14ac:dyDescent="0.25">
      <c r="D57" s="14" t="s">
        <v>74</v>
      </c>
      <c r="E57" s="20">
        <v>62438.700000000004</v>
      </c>
    </row>
    <row r="58" spans="4:5" x14ac:dyDescent="0.25">
      <c r="D58" s="14" t="s">
        <v>96</v>
      </c>
      <c r="E58" s="20">
        <v>40074.199999999997</v>
      </c>
    </row>
    <row r="59" spans="4:5" x14ac:dyDescent="0.25">
      <c r="D59" s="14" t="s">
        <v>29</v>
      </c>
      <c r="E59" s="20">
        <v>30347.600000000006</v>
      </c>
    </row>
    <row r="60" spans="4:5" x14ac:dyDescent="0.25">
      <c r="D60" s="14" t="s">
        <v>138</v>
      </c>
      <c r="E60" s="20">
        <v>29721.75</v>
      </c>
    </row>
    <row r="61" spans="4:5" x14ac:dyDescent="0.25">
      <c r="D61" s="14" t="s">
        <v>90</v>
      </c>
      <c r="E61" s="20">
        <v>28204.649999999998</v>
      </c>
    </row>
    <row r="62" spans="4:5" x14ac:dyDescent="0.25">
      <c r="D62" s="14" t="s">
        <v>41</v>
      </c>
      <c r="E62" s="20">
        <v>18810.849999999999</v>
      </c>
    </row>
    <row r="63" spans="4:5" x14ac:dyDescent="0.25">
      <c r="D63" s="14" t="s">
        <v>88</v>
      </c>
      <c r="E63" s="20">
        <v>14127.55</v>
      </c>
    </row>
    <row r="64" spans="4:5" x14ac:dyDescent="0.25">
      <c r="D64" s="14" t="s">
        <v>111</v>
      </c>
      <c r="E64" s="20">
        <v>11029.25</v>
      </c>
    </row>
    <row r="65" spans="4:5" x14ac:dyDescent="0.25">
      <c r="D65" s="14" t="s">
        <v>240</v>
      </c>
      <c r="E65" s="20">
        <v>376726.55000000005</v>
      </c>
    </row>
    <row r="78" spans="4:5" x14ac:dyDescent="0.25">
      <c r="D78" s="13" t="s">
        <v>239</v>
      </c>
      <c r="E78" t="s">
        <v>242</v>
      </c>
    </row>
    <row r="79" spans="4:5" x14ac:dyDescent="0.25">
      <c r="D79" s="14" t="s">
        <v>76</v>
      </c>
      <c r="E79" s="20">
        <v>141179.74999999997</v>
      </c>
    </row>
    <row r="80" spans="4:5" x14ac:dyDescent="0.25">
      <c r="D80" s="14" t="s">
        <v>33</v>
      </c>
      <c r="E80" s="20">
        <v>138472.90000000002</v>
      </c>
    </row>
    <row r="81" spans="4:5" x14ac:dyDescent="0.25">
      <c r="D81" s="14" t="s">
        <v>44</v>
      </c>
      <c r="E81" s="20">
        <v>113490.94999999998</v>
      </c>
    </row>
    <row r="82" spans="4:5" x14ac:dyDescent="0.25">
      <c r="D82" s="14" t="s">
        <v>240</v>
      </c>
      <c r="E82" s="20">
        <v>393143.6</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9629-C923-4EB0-A1FA-0C39BD6F3E51}">
  <sheetPr codeName="Sheet6"/>
  <dimension ref="AJ47"/>
  <sheetViews>
    <sheetView tabSelected="1" zoomScale="36" zoomScaleNormal="55" workbookViewId="0">
      <selection activeCell="AS53" sqref="AS53"/>
    </sheetView>
  </sheetViews>
  <sheetFormatPr defaultRowHeight="13.8" x14ac:dyDescent="0.25"/>
  <cols>
    <col min="36" max="36" width="9.5" bestFit="1" customWidth="1"/>
  </cols>
  <sheetData>
    <row r="47" spans="36:36" x14ac:dyDescent="0.25">
      <c r="AJ47"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B23"/>
  <sheetViews>
    <sheetView workbookViewId="0"/>
  </sheetViews>
  <sheetFormatPr defaultRowHeight="13.8" x14ac:dyDescent="0.25"/>
  <sheetData>
    <row r="1" spans="1:2" ht="14.4" x14ac:dyDescent="0.25">
      <c r="A1" s="1" t="s">
        <v>215</v>
      </c>
      <c r="B1" s="1" t="s">
        <v>216</v>
      </c>
    </row>
    <row r="2" spans="1:2" x14ac:dyDescent="0.25">
      <c r="A2" t="s">
        <v>0</v>
      </c>
      <c r="B2" t="s">
        <v>217</v>
      </c>
    </row>
    <row r="3" spans="1:2" x14ac:dyDescent="0.25">
      <c r="A3" t="s">
        <v>1</v>
      </c>
      <c r="B3" t="s">
        <v>218</v>
      </c>
    </row>
    <row r="4" spans="1:2" x14ac:dyDescent="0.25">
      <c r="A4" t="s">
        <v>2</v>
      </c>
      <c r="B4" t="s">
        <v>219</v>
      </c>
    </row>
    <row r="5" spans="1:2" x14ac:dyDescent="0.25">
      <c r="A5" t="s">
        <v>3</v>
      </c>
      <c r="B5" t="s">
        <v>220</v>
      </c>
    </row>
    <row r="6" spans="1:2" x14ac:dyDescent="0.25">
      <c r="A6" t="s">
        <v>4</v>
      </c>
      <c r="B6" t="s">
        <v>221</v>
      </c>
    </row>
    <row r="7" spans="1:2" x14ac:dyDescent="0.25">
      <c r="A7" t="s">
        <v>5</v>
      </c>
      <c r="B7" t="s">
        <v>222</v>
      </c>
    </row>
    <row r="8" spans="1:2" x14ac:dyDescent="0.25">
      <c r="A8" t="s">
        <v>6</v>
      </c>
      <c r="B8" t="s">
        <v>223</v>
      </c>
    </row>
    <row r="9" spans="1:2" x14ac:dyDescent="0.25">
      <c r="A9" t="s">
        <v>7</v>
      </c>
      <c r="B9" t="s">
        <v>224</v>
      </c>
    </row>
    <row r="10" spans="1:2" x14ac:dyDescent="0.25">
      <c r="A10" t="s">
        <v>8</v>
      </c>
      <c r="B10" t="s">
        <v>225</v>
      </c>
    </row>
    <row r="11" spans="1:2" x14ac:dyDescent="0.25">
      <c r="A11" t="s">
        <v>9</v>
      </c>
      <c r="B11" t="s">
        <v>226</v>
      </c>
    </row>
    <row r="12" spans="1:2" x14ac:dyDescent="0.25">
      <c r="A12" t="s">
        <v>10</v>
      </c>
      <c r="B12" t="s">
        <v>227</v>
      </c>
    </row>
    <row r="13" spans="1:2" x14ac:dyDescent="0.25">
      <c r="A13" t="s">
        <v>11</v>
      </c>
      <c r="B13" t="s">
        <v>228</v>
      </c>
    </row>
    <row r="14" spans="1:2" x14ac:dyDescent="0.25">
      <c r="A14" t="s">
        <v>12</v>
      </c>
      <c r="B14" t="s">
        <v>229</v>
      </c>
    </row>
    <row r="15" spans="1:2" x14ac:dyDescent="0.25">
      <c r="A15" t="s">
        <v>13</v>
      </c>
      <c r="B15" t="s">
        <v>230</v>
      </c>
    </row>
    <row r="16" spans="1:2" x14ac:dyDescent="0.25">
      <c r="A16" t="s">
        <v>14</v>
      </c>
      <c r="B16" t="s">
        <v>231</v>
      </c>
    </row>
    <row r="17" spans="1:2" x14ac:dyDescent="0.25">
      <c r="A17" t="s">
        <v>15</v>
      </c>
      <c r="B17" t="s">
        <v>232</v>
      </c>
    </row>
    <row r="18" spans="1:2" x14ac:dyDescent="0.25">
      <c r="A18" t="s">
        <v>16</v>
      </c>
      <c r="B18" t="s">
        <v>233</v>
      </c>
    </row>
    <row r="19" spans="1:2" x14ac:dyDescent="0.25">
      <c r="A19" t="s">
        <v>17</v>
      </c>
      <c r="B19" t="s">
        <v>234</v>
      </c>
    </row>
    <row r="20" spans="1:2" x14ac:dyDescent="0.25">
      <c r="A20" t="s">
        <v>18</v>
      </c>
      <c r="B20" t="s">
        <v>235</v>
      </c>
    </row>
    <row r="21" spans="1:2" x14ac:dyDescent="0.25">
      <c r="A21" t="s">
        <v>19</v>
      </c>
      <c r="B21" t="s">
        <v>236</v>
      </c>
    </row>
    <row r="22" spans="1:2" x14ac:dyDescent="0.25">
      <c r="A22" t="s">
        <v>20</v>
      </c>
      <c r="B22" t="s">
        <v>237</v>
      </c>
    </row>
    <row r="23" spans="1:2" x14ac:dyDescent="0.25">
      <c r="A23" t="s">
        <v>21</v>
      </c>
      <c r="B23"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CLEAN_Data</vt:lpstr>
      <vt:lpstr>RAW_DATA</vt:lpstr>
      <vt:lpstr>Pivot_Table</vt:lpstr>
      <vt:lpstr>DASHBOARD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TUNA</cp:lastModifiedBy>
  <dcterms:created xsi:type="dcterms:W3CDTF">2026-08-27T18:52:05Z</dcterms:created>
  <dcterms:modified xsi:type="dcterms:W3CDTF">2026-09-08T20:59:32Z</dcterms:modified>
</cp:coreProperties>
</file>